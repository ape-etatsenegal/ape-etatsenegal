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dminimpaxis-my.sharepoint.com/personal/ahmet_fall_impaxis-securities_com/Documents/Bureau/"/>
    </mc:Choice>
  </mc:AlternateContent>
  <xr:revisionPtr revIDLastSave="1" documentId="8_{829DE2CA-EC64-4647-83D7-D48906B70F32}" xr6:coauthVersionLast="47" xr6:coauthVersionMax="47" xr10:uidLastSave="{36D70544-6F33-4B63-84AC-43F8B6B8535B}"/>
  <bookViews>
    <workbookView xWindow="-110" yWindow="-110" windowWidth="21820" windowHeight="13000" firstSheet="1" activeTab="1" xr2:uid="{E6BB4CF5-DFFB-41B8-BE62-E1BF98A8FF41}"/>
  </bookViews>
  <sheets>
    <sheet name="Feuil1" sheetId="1" state="hidden" r:id="rId1"/>
    <sheet name="TA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5" l="1"/>
  <c r="D87" i="5" s="1"/>
  <c r="G87" i="5" s="1"/>
  <c r="D85" i="5"/>
  <c r="G85" i="5" s="1"/>
  <c r="G84" i="5"/>
  <c r="E84" i="5"/>
  <c r="F84" i="5" s="1"/>
  <c r="D58" i="5"/>
  <c r="G58" i="5" s="1"/>
  <c r="G57" i="5"/>
  <c r="E57" i="5"/>
  <c r="F57" i="5" s="1"/>
  <c r="G43" i="5"/>
  <c r="G42" i="5"/>
  <c r="G41" i="5"/>
  <c r="G40" i="5"/>
  <c r="G39" i="5"/>
  <c r="G38" i="5"/>
  <c r="G37" i="5"/>
  <c r="G36" i="5"/>
  <c r="G35" i="5"/>
  <c r="G34" i="5"/>
  <c r="E34" i="5"/>
  <c r="G20" i="5"/>
  <c r="G19" i="5"/>
  <c r="G18" i="5"/>
  <c r="G17" i="5"/>
  <c r="G16" i="5"/>
  <c r="G15" i="5"/>
  <c r="E15" i="5"/>
  <c r="F15" i="5" s="1"/>
  <c r="D59" i="5" l="1"/>
  <c r="D60" i="5" s="1"/>
  <c r="I57" i="5"/>
  <c r="E58" i="5" s="1"/>
  <c r="I58" i="5" s="1"/>
  <c r="E59" i="5" s="1"/>
  <c r="I34" i="5"/>
  <c r="E35" i="5" s="1"/>
  <c r="I35" i="5" s="1"/>
  <c r="E36" i="5" s="1"/>
  <c r="I36" i="5" s="1"/>
  <c r="E37" i="5" s="1"/>
  <c r="G45" i="5"/>
  <c r="I15" i="5"/>
  <c r="E16" i="5" s="1"/>
  <c r="F16" i="5" s="1"/>
  <c r="H16" i="5" s="1"/>
  <c r="I84" i="5"/>
  <c r="E85" i="5" s="1"/>
  <c r="I85" i="5" s="1"/>
  <c r="E86" i="5" s="1"/>
  <c r="D61" i="5"/>
  <c r="G60" i="5"/>
  <c r="H15" i="5"/>
  <c r="F34" i="5"/>
  <c r="H84" i="5"/>
  <c r="H57" i="5"/>
  <c r="G22" i="5"/>
  <c r="D88" i="5"/>
  <c r="G86" i="5"/>
  <c r="G59" i="5" l="1"/>
  <c r="F85" i="5"/>
  <c r="H85" i="5" s="1"/>
  <c r="F58" i="5"/>
  <c r="H58" i="5" s="1"/>
  <c r="F35" i="5"/>
  <c r="H35" i="5" s="1"/>
  <c r="F36" i="5"/>
  <c r="H36" i="5" s="1"/>
  <c r="I16" i="5"/>
  <c r="E17" i="5" s="1"/>
  <c r="F17" i="5" s="1"/>
  <c r="H17" i="5" s="1"/>
  <c r="I37" i="5"/>
  <c r="E38" i="5" s="1"/>
  <c r="F37" i="5"/>
  <c r="H37" i="5" s="1"/>
  <c r="I59" i="5"/>
  <c r="E60" i="5" s="1"/>
  <c r="F59" i="5"/>
  <c r="H59" i="5" s="1"/>
  <c r="D62" i="5"/>
  <c r="G61" i="5"/>
  <c r="I86" i="5"/>
  <c r="E87" i="5" s="1"/>
  <c r="F86" i="5"/>
  <c r="H86" i="5" s="1"/>
  <c r="H34" i="5"/>
  <c r="G88" i="5"/>
  <c r="D89" i="5"/>
  <c r="G129" i="1"/>
  <c r="G115" i="1"/>
  <c r="F115" i="1"/>
  <c r="G37" i="1"/>
  <c r="G17" i="1"/>
  <c r="G25" i="1" s="1"/>
  <c r="F17" i="1"/>
  <c r="G100" i="1"/>
  <c r="G99" i="1"/>
  <c r="G92" i="1"/>
  <c r="G91" i="1"/>
  <c r="G90" i="1"/>
  <c r="G89" i="1"/>
  <c r="G88" i="1"/>
  <c r="G87" i="1"/>
  <c r="G73" i="1"/>
  <c r="G72" i="1"/>
  <c r="G71" i="1"/>
  <c r="G70" i="1"/>
  <c r="G69" i="1"/>
  <c r="G68" i="1"/>
  <c r="G67" i="1"/>
  <c r="G66" i="1"/>
  <c r="G75" i="1" s="1"/>
  <c r="G65" i="1"/>
  <c r="F65" i="1"/>
  <c r="F64" i="1"/>
  <c r="G64" i="1"/>
  <c r="F14" i="1"/>
  <c r="G14" i="1"/>
  <c r="D88" i="1"/>
  <c r="D89" i="1" s="1"/>
  <c r="E87" i="1"/>
  <c r="G98" i="1" s="1"/>
  <c r="E64" i="1"/>
  <c r="D116" i="1"/>
  <c r="D117" i="1" s="1"/>
  <c r="G117" i="1" s="1"/>
  <c r="E115" i="1"/>
  <c r="D38" i="1"/>
  <c r="D39" i="1" s="1"/>
  <c r="E37" i="1"/>
  <c r="F37" i="1" s="1"/>
  <c r="G23" i="1"/>
  <c r="G22" i="1"/>
  <c r="G21" i="1"/>
  <c r="G20" i="1"/>
  <c r="G19" i="1"/>
  <c r="G18" i="1"/>
  <c r="G16" i="1"/>
  <c r="G15" i="1"/>
  <c r="E14" i="1"/>
  <c r="I17" i="5" l="1"/>
  <c r="E18" i="5" s="1"/>
  <c r="F18" i="5" s="1"/>
  <c r="H18" i="5" s="1"/>
  <c r="F60" i="5"/>
  <c r="I60" i="5"/>
  <c r="E61" i="5" s="1"/>
  <c r="F38" i="5"/>
  <c r="H38" i="5" s="1"/>
  <c r="I38" i="5"/>
  <c r="E39" i="5" s="1"/>
  <c r="I87" i="5"/>
  <c r="E88" i="5" s="1"/>
  <c r="F87" i="5"/>
  <c r="H87" i="5" s="1"/>
  <c r="G62" i="5"/>
  <c r="D63" i="5"/>
  <c r="G89" i="5"/>
  <c r="D90" i="5"/>
  <c r="G94" i="1"/>
  <c r="G93" i="1"/>
  <c r="G95" i="1"/>
  <c r="F87" i="1"/>
  <c r="G96" i="1"/>
  <c r="G97" i="1"/>
  <c r="H37" i="1"/>
  <c r="G136" i="1"/>
  <c r="I64" i="1"/>
  <c r="E65" i="1" s="1"/>
  <c r="H65" i="1"/>
  <c r="I65" i="1"/>
  <c r="E66" i="1" s="1"/>
  <c r="F66" i="1" s="1"/>
  <c r="H87" i="1"/>
  <c r="D90" i="1"/>
  <c r="I87" i="1"/>
  <c r="E88" i="1" s="1"/>
  <c r="F88" i="1" s="1"/>
  <c r="H64" i="1"/>
  <c r="I115" i="1"/>
  <c r="E116" i="1" s="1"/>
  <c r="F116" i="1" s="1"/>
  <c r="H115" i="1"/>
  <c r="G116" i="1"/>
  <c r="G38" i="1"/>
  <c r="D118" i="1"/>
  <c r="G118" i="1" s="1"/>
  <c r="D40" i="1"/>
  <c r="G40" i="1" s="1"/>
  <c r="G39" i="1"/>
  <c r="H14" i="1"/>
  <c r="I37" i="1"/>
  <c r="E38" i="1" s="1"/>
  <c r="F38" i="1" s="1"/>
  <c r="I14" i="1"/>
  <c r="E15" i="1" s="1"/>
  <c r="I18" i="5" l="1"/>
  <c r="E19" i="5" s="1"/>
  <c r="F19" i="5" s="1"/>
  <c r="H19" i="5" s="1"/>
  <c r="F88" i="5"/>
  <c r="I88" i="5"/>
  <c r="E89" i="5" s="1"/>
  <c r="I39" i="5"/>
  <c r="E40" i="5" s="1"/>
  <c r="F39" i="5"/>
  <c r="D64" i="5"/>
  <c r="G63" i="5"/>
  <c r="I61" i="5"/>
  <c r="E62" i="5" s="1"/>
  <c r="F62" i="5" s="1"/>
  <c r="F61" i="5"/>
  <c r="H61" i="5" s="1"/>
  <c r="D91" i="5"/>
  <c r="G90" i="5"/>
  <c r="H60" i="5"/>
  <c r="I66" i="1"/>
  <c r="E67" i="1" s="1"/>
  <c r="F67" i="1" s="1"/>
  <c r="H66" i="1"/>
  <c r="D91" i="1"/>
  <c r="I88" i="1"/>
  <c r="E89" i="1" s="1"/>
  <c r="F89" i="1" s="1"/>
  <c r="H116" i="1"/>
  <c r="I116" i="1"/>
  <c r="E117" i="1" s="1"/>
  <c r="D41" i="1"/>
  <c r="G41" i="1" s="1"/>
  <c r="D119" i="1"/>
  <c r="G119" i="1" s="1"/>
  <c r="I38" i="1"/>
  <c r="I15" i="1"/>
  <c r="E16" i="1" s="1"/>
  <c r="I16" i="1" s="1"/>
  <c r="F15" i="1"/>
  <c r="H15" i="1" s="1"/>
  <c r="I19" i="5" l="1"/>
  <c r="E20" i="5" s="1"/>
  <c r="I20" i="5" s="1"/>
  <c r="D92" i="5"/>
  <c r="G91" i="5"/>
  <c r="I40" i="5"/>
  <c r="E41" i="5" s="1"/>
  <c r="F40" i="5"/>
  <c r="H40" i="5" s="1"/>
  <c r="D65" i="5"/>
  <c r="G64" i="5"/>
  <c r="H39" i="5"/>
  <c r="I62" i="5"/>
  <c r="E63" i="5" s="1"/>
  <c r="I89" i="5"/>
  <c r="E90" i="5" s="1"/>
  <c r="F89" i="5"/>
  <c r="H89" i="5" s="1"/>
  <c r="H88" i="5"/>
  <c r="H89" i="1"/>
  <c r="I89" i="1"/>
  <c r="E90" i="1" s="1"/>
  <c r="F90" i="1" s="1"/>
  <c r="D92" i="1"/>
  <c r="I67" i="1"/>
  <c r="E68" i="1" s="1"/>
  <c r="F68" i="1" s="1"/>
  <c r="H88" i="1"/>
  <c r="F117" i="1"/>
  <c r="I117" i="1"/>
  <c r="E118" i="1" s="1"/>
  <c r="D42" i="1"/>
  <c r="G42" i="1" s="1"/>
  <c r="D120" i="1"/>
  <c r="G120" i="1" s="1"/>
  <c r="D43" i="1"/>
  <c r="G43" i="1" s="1"/>
  <c r="H38" i="1"/>
  <c r="E39" i="1"/>
  <c r="F39" i="1" s="1"/>
  <c r="F16" i="1"/>
  <c r="F20" i="5" l="1"/>
  <c r="F22" i="5" s="1"/>
  <c r="I63" i="5"/>
  <c r="E64" i="5" s="1"/>
  <c r="F63" i="5"/>
  <c r="H63" i="5" s="1"/>
  <c r="G92" i="5"/>
  <c r="D93" i="5"/>
  <c r="H62" i="5"/>
  <c r="G65" i="5"/>
  <c r="D66" i="5"/>
  <c r="I90" i="5"/>
  <c r="E91" i="5" s="1"/>
  <c r="F90" i="5"/>
  <c r="H90" i="5" s="1"/>
  <c r="F41" i="5"/>
  <c r="I41" i="5"/>
  <c r="E42" i="5" s="1"/>
  <c r="H117" i="1"/>
  <c r="I68" i="1"/>
  <c r="E69" i="1" s="1"/>
  <c r="F69" i="1" s="1"/>
  <c r="H68" i="1"/>
  <c r="D93" i="1"/>
  <c r="I90" i="1"/>
  <c r="E91" i="1" s="1"/>
  <c r="F91" i="1" s="1"/>
  <c r="H67" i="1"/>
  <c r="F118" i="1"/>
  <c r="H118" i="1" s="1"/>
  <c r="I118" i="1"/>
  <c r="E119" i="1" s="1"/>
  <c r="D121" i="1"/>
  <c r="G121" i="1" s="1"/>
  <c r="D44" i="1"/>
  <c r="G44" i="1" s="1"/>
  <c r="I39" i="1"/>
  <c r="E17" i="1"/>
  <c r="I17" i="1" s="1"/>
  <c r="H16" i="1"/>
  <c r="H20" i="5" l="1"/>
  <c r="H22" i="5" s="1"/>
  <c r="I42" i="5"/>
  <c r="E43" i="5" s="1"/>
  <c r="F42" i="5"/>
  <c r="H42" i="5" s="1"/>
  <c r="H41" i="5"/>
  <c r="G93" i="5"/>
  <c r="D94" i="5"/>
  <c r="I91" i="5"/>
  <c r="E92" i="5" s="1"/>
  <c r="F91" i="5"/>
  <c r="H91" i="5" s="1"/>
  <c r="G66" i="5"/>
  <c r="D67" i="5"/>
  <c r="F64" i="5"/>
  <c r="H64" i="5" s="1"/>
  <c r="I64" i="5"/>
  <c r="E65" i="5" s="1"/>
  <c r="H90" i="1"/>
  <c r="I91" i="1"/>
  <c r="E92" i="1" s="1"/>
  <c r="F92" i="1" s="1"/>
  <c r="H91" i="1"/>
  <c r="D94" i="1"/>
  <c r="H69" i="1"/>
  <c r="I69" i="1"/>
  <c r="E70" i="1" s="1"/>
  <c r="F70" i="1" s="1"/>
  <c r="F119" i="1"/>
  <c r="H119" i="1" s="1"/>
  <c r="I119" i="1"/>
  <c r="E120" i="1" s="1"/>
  <c r="D122" i="1"/>
  <c r="G122" i="1" s="1"/>
  <c r="D45" i="1"/>
  <c r="G45" i="1" s="1"/>
  <c r="E40" i="1"/>
  <c r="H39" i="1"/>
  <c r="D95" i="5" l="1"/>
  <c r="G94" i="5"/>
  <c r="F65" i="5"/>
  <c r="H65" i="5" s="1"/>
  <c r="I65" i="5"/>
  <c r="E66" i="5" s="1"/>
  <c r="D68" i="5"/>
  <c r="G67" i="5"/>
  <c r="I43" i="5"/>
  <c r="F43" i="5"/>
  <c r="F92" i="5"/>
  <c r="H92" i="5" s="1"/>
  <c r="I92" i="5"/>
  <c r="E93" i="5" s="1"/>
  <c r="D95" i="1"/>
  <c r="I92" i="1"/>
  <c r="E93" i="1" s="1"/>
  <c r="F93" i="1" s="1"/>
  <c r="H92" i="1"/>
  <c r="I70" i="1"/>
  <c r="E71" i="1" s="1"/>
  <c r="F71" i="1" s="1"/>
  <c r="H70" i="1"/>
  <c r="I120" i="1"/>
  <c r="E121" i="1" s="1"/>
  <c r="F120" i="1"/>
  <c r="H120" i="1" s="1"/>
  <c r="D123" i="1"/>
  <c r="G123" i="1" s="1"/>
  <c r="F40" i="1"/>
  <c r="D46" i="1"/>
  <c r="G46" i="1" s="1"/>
  <c r="I40" i="1"/>
  <c r="E18" i="1"/>
  <c r="I18" i="1" s="1"/>
  <c r="H17" i="1"/>
  <c r="D69" i="5" l="1"/>
  <c r="G68" i="5"/>
  <c r="F66" i="5"/>
  <c r="H66" i="5" s="1"/>
  <c r="I66" i="5"/>
  <c r="E67" i="5" s="1"/>
  <c r="I93" i="5"/>
  <c r="E94" i="5" s="1"/>
  <c r="F93" i="5"/>
  <c r="H93" i="5" s="1"/>
  <c r="H43" i="5"/>
  <c r="H45" i="5" s="1"/>
  <c r="F45" i="5"/>
  <c r="D96" i="5"/>
  <c r="G95" i="5"/>
  <c r="I71" i="1"/>
  <c r="E72" i="1" s="1"/>
  <c r="F72" i="1" s="1"/>
  <c r="H71" i="1"/>
  <c r="I93" i="1"/>
  <c r="E94" i="1" s="1"/>
  <c r="F94" i="1" s="1"/>
  <c r="D96" i="1"/>
  <c r="I121" i="1"/>
  <c r="E122" i="1" s="1"/>
  <c r="F121" i="1"/>
  <c r="H121" i="1" s="1"/>
  <c r="D124" i="1"/>
  <c r="G124" i="1" s="1"/>
  <c r="D47" i="1"/>
  <c r="G47" i="1" s="1"/>
  <c r="H40" i="1"/>
  <c r="E41" i="1"/>
  <c r="F18" i="1"/>
  <c r="I67" i="5" l="1"/>
  <c r="E68" i="5" s="1"/>
  <c r="F67" i="5"/>
  <c r="H67" i="5" s="1"/>
  <c r="I94" i="5"/>
  <c r="E95" i="5" s="1"/>
  <c r="F94" i="5"/>
  <c r="H94" i="5" s="1"/>
  <c r="G96" i="5"/>
  <c r="D97" i="5"/>
  <c r="G69" i="5"/>
  <c r="D70" i="5"/>
  <c r="G70" i="5" s="1"/>
  <c r="D97" i="1"/>
  <c r="H94" i="1"/>
  <c r="I94" i="1"/>
  <c r="E95" i="1" s="1"/>
  <c r="F95" i="1" s="1"/>
  <c r="H93" i="1"/>
  <c r="H72" i="1"/>
  <c r="I72" i="1"/>
  <c r="E73" i="1" s="1"/>
  <c r="F73" i="1" s="1"/>
  <c r="I122" i="1"/>
  <c r="E123" i="1" s="1"/>
  <c r="F122" i="1"/>
  <c r="H122" i="1" s="1"/>
  <c r="D125" i="1"/>
  <c r="G125" i="1" s="1"/>
  <c r="F41" i="1"/>
  <c r="D48" i="1"/>
  <c r="I41" i="1"/>
  <c r="E42" i="1" s="1"/>
  <c r="E19" i="1"/>
  <c r="I19" i="1" s="1"/>
  <c r="H18" i="1"/>
  <c r="G72" i="5" l="1"/>
  <c r="G97" i="5"/>
  <c r="D98" i="5"/>
  <c r="I95" i="5"/>
  <c r="E96" i="5" s="1"/>
  <c r="F95" i="5"/>
  <c r="H95" i="5" s="1"/>
  <c r="I68" i="5"/>
  <c r="E69" i="5" s="1"/>
  <c r="F68" i="5"/>
  <c r="H68" i="5" s="1"/>
  <c r="I73" i="1"/>
  <c r="H95" i="1"/>
  <c r="I95" i="1"/>
  <c r="E96" i="1" s="1"/>
  <c r="F96" i="1" s="1"/>
  <c r="D98" i="1"/>
  <c r="I123" i="1"/>
  <c r="E124" i="1" s="1"/>
  <c r="F123" i="1"/>
  <c r="H123" i="1" s="1"/>
  <c r="D126" i="1"/>
  <c r="G126" i="1" s="1"/>
  <c r="D49" i="1"/>
  <c r="G48" i="1"/>
  <c r="F42" i="1"/>
  <c r="H42" i="1" s="1"/>
  <c r="H41" i="1"/>
  <c r="I42" i="1"/>
  <c r="E43" i="1" s="1"/>
  <c r="F19" i="1"/>
  <c r="I69" i="5" l="1"/>
  <c r="E70" i="5" s="1"/>
  <c r="F69" i="5"/>
  <c r="H69" i="5" s="1"/>
  <c r="D99" i="5"/>
  <c r="G98" i="5"/>
  <c r="F96" i="5"/>
  <c r="H96" i="5" s="1"/>
  <c r="I96" i="5"/>
  <c r="E97" i="5" s="1"/>
  <c r="D99" i="1"/>
  <c r="I96" i="1"/>
  <c r="E97" i="1" s="1"/>
  <c r="F97" i="1" s="1"/>
  <c r="H96" i="1"/>
  <c r="H73" i="1"/>
  <c r="H75" i="1" s="1"/>
  <c r="F75" i="1"/>
  <c r="I124" i="1"/>
  <c r="E125" i="1" s="1"/>
  <c r="F124" i="1"/>
  <c r="H124" i="1" s="1"/>
  <c r="D127" i="1"/>
  <c r="G127" i="1" s="1"/>
  <c r="G49" i="1"/>
  <c r="D50" i="1"/>
  <c r="G50" i="1" s="1"/>
  <c r="G52" i="1" s="1"/>
  <c r="F43" i="1"/>
  <c r="H43" i="1" s="1"/>
  <c r="E20" i="1"/>
  <c r="I20" i="1" s="1"/>
  <c r="H19" i="1"/>
  <c r="I97" i="5" l="1"/>
  <c r="E98" i="5" s="1"/>
  <c r="F97" i="5"/>
  <c r="H97" i="5" s="1"/>
  <c r="D100" i="5"/>
  <c r="G99" i="5"/>
  <c r="F70" i="5"/>
  <c r="I70" i="5"/>
  <c r="H97" i="1"/>
  <c r="I97" i="1"/>
  <c r="E98" i="1" s="1"/>
  <c r="F98" i="1" s="1"/>
  <c r="D100" i="1"/>
  <c r="G102" i="1" s="1"/>
  <c r="F125" i="1"/>
  <c r="H125" i="1" s="1"/>
  <c r="I125" i="1"/>
  <c r="E126" i="1" s="1"/>
  <c r="D128" i="1"/>
  <c r="G128" i="1" s="1"/>
  <c r="I43" i="1"/>
  <c r="E44" i="1" s="1"/>
  <c r="F20" i="1"/>
  <c r="H70" i="5" l="1"/>
  <c r="H72" i="5" s="1"/>
  <c r="F72" i="5"/>
  <c r="G100" i="5"/>
  <c r="D101" i="5"/>
  <c r="I98" i="5"/>
  <c r="E99" i="5" s="1"/>
  <c r="F98" i="5"/>
  <c r="H98" i="5" s="1"/>
  <c r="H98" i="1"/>
  <c r="I98" i="1"/>
  <c r="E99" i="1" s="1"/>
  <c r="F99" i="1" s="1"/>
  <c r="I126" i="1"/>
  <c r="E127" i="1" s="1"/>
  <c r="F126" i="1"/>
  <c r="H126" i="1" s="1"/>
  <c r="D129" i="1"/>
  <c r="F44" i="1"/>
  <c r="E21" i="1"/>
  <c r="I21" i="1" s="1"/>
  <c r="H20" i="1"/>
  <c r="G101" i="5" l="1"/>
  <c r="D102" i="5"/>
  <c r="F99" i="5"/>
  <c r="H99" i="5" s="1"/>
  <c r="I99" i="5"/>
  <c r="E100" i="5" s="1"/>
  <c r="H99" i="1"/>
  <c r="I99" i="1"/>
  <c r="E100" i="1" s="1"/>
  <c r="F100" i="1" s="1"/>
  <c r="F127" i="1"/>
  <c r="H127" i="1" s="1"/>
  <c r="I127" i="1"/>
  <c r="E128" i="1" s="1"/>
  <c r="D130" i="1"/>
  <c r="G130" i="1" s="1"/>
  <c r="I44" i="1"/>
  <c r="E45" i="1" s="1"/>
  <c r="H44" i="1"/>
  <c r="F21" i="1"/>
  <c r="F100" i="5" l="1"/>
  <c r="H100" i="5" s="1"/>
  <c r="I100" i="5"/>
  <c r="E101" i="5" s="1"/>
  <c r="D103" i="5"/>
  <c r="G103" i="5" s="1"/>
  <c r="G102" i="5"/>
  <c r="I100" i="1"/>
  <c r="F102" i="1"/>
  <c r="F128" i="1"/>
  <c r="H128" i="1" s="1"/>
  <c r="I128" i="1"/>
  <c r="E129" i="1" s="1"/>
  <c r="D131" i="1"/>
  <c r="G131" i="1" s="1"/>
  <c r="F45" i="1"/>
  <c r="I45" i="1"/>
  <c r="E22" i="1"/>
  <c r="I22" i="1" s="1"/>
  <c r="H21" i="1"/>
  <c r="G105" i="5" l="1"/>
  <c r="I101" i="5"/>
  <c r="E102" i="5" s="1"/>
  <c r="F101" i="5"/>
  <c r="H101" i="5" s="1"/>
  <c r="H100" i="1"/>
  <c r="H102" i="1" s="1"/>
  <c r="I129" i="1"/>
  <c r="E130" i="1" s="1"/>
  <c r="F129" i="1"/>
  <c r="H129" i="1" s="1"/>
  <c r="D132" i="1"/>
  <c r="G132" i="1" s="1"/>
  <c r="E46" i="1"/>
  <c r="H45" i="1"/>
  <c r="F22" i="1"/>
  <c r="I102" i="5" l="1"/>
  <c r="E103" i="5" s="1"/>
  <c r="F102" i="5"/>
  <c r="H102" i="5" s="1"/>
  <c r="I130" i="1"/>
  <c r="E131" i="1" s="1"/>
  <c r="F130" i="1"/>
  <c r="H130" i="1" s="1"/>
  <c r="D133" i="1"/>
  <c r="G133" i="1" s="1"/>
  <c r="F46" i="1"/>
  <c r="E23" i="1"/>
  <c r="H22" i="1"/>
  <c r="F103" i="5" l="1"/>
  <c r="I103" i="5"/>
  <c r="I23" i="1"/>
  <c r="F23" i="1"/>
  <c r="F25" i="1" s="1"/>
  <c r="F131" i="1"/>
  <c r="H131" i="1" s="1"/>
  <c r="I131" i="1"/>
  <c r="E132" i="1" s="1"/>
  <c r="D134" i="1"/>
  <c r="G134" i="1" s="1"/>
  <c r="I46" i="1"/>
  <c r="H46" i="1"/>
  <c r="H103" i="5" l="1"/>
  <c r="H105" i="5" s="1"/>
  <c r="F105" i="5"/>
  <c r="I132" i="1"/>
  <c r="E133" i="1" s="1"/>
  <c r="F132" i="1"/>
  <c r="H132" i="1" s="1"/>
  <c r="E47" i="1"/>
  <c r="H23" i="1"/>
  <c r="H25" i="1" s="1"/>
  <c r="F133" i="1" l="1"/>
  <c r="H133" i="1" s="1"/>
  <c r="I133" i="1"/>
  <c r="E134" i="1" s="1"/>
  <c r="F47" i="1"/>
  <c r="I47" i="1"/>
  <c r="E48" i="1" s="1"/>
  <c r="I134" i="1" l="1"/>
  <c r="F134" i="1"/>
  <c r="F48" i="1"/>
  <c r="H47" i="1"/>
  <c r="H134" i="1" l="1"/>
  <c r="H136" i="1" s="1"/>
  <c r="F136" i="1"/>
  <c r="I48" i="1"/>
  <c r="H48" i="1"/>
  <c r="E49" i="1" l="1"/>
  <c r="F49" i="1" l="1"/>
  <c r="H49" i="1" s="1"/>
  <c r="I49" i="1"/>
  <c r="E50" i="1" s="1"/>
  <c r="F50" i="1" s="1"/>
  <c r="F52" i="1" s="1"/>
  <c r="H50" i="1" l="1"/>
  <c r="H52" i="1" s="1"/>
  <c r="I50" i="1"/>
</calcChain>
</file>

<file path=xl/sharedStrings.xml><?xml version="1.0" encoding="utf-8"?>
<sst xmlns="http://schemas.openxmlformats.org/spreadsheetml/2006/main" count="129" uniqueCount="34">
  <si>
    <t>Projet Sakinah - Tableaux d'amortissement</t>
  </si>
  <si>
    <t>Tranche A - Diaspora bonds</t>
  </si>
  <si>
    <t>Montant</t>
  </si>
  <si>
    <t>Taux</t>
  </si>
  <si>
    <t>Maturité</t>
  </si>
  <si>
    <t>5 ans</t>
  </si>
  <si>
    <t>Semestrialités</t>
  </si>
  <si>
    <t>Période de grâce</t>
  </si>
  <si>
    <t>Tableau d'amortissement de la tranche A  "Etat du Sénégal - Diaspora bonds 6,60% 2025-2030"</t>
  </si>
  <si>
    <t>Périodes
(semestres)</t>
  </si>
  <si>
    <t>Capital
début de période</t>
  </si>
  <si>
    <t>Intérêts</t>
  </si>
  <si>
    <t>Amortissement</t>
  </si>
  <si>
    <t>Annuités</t>
  </si>
  <si>
    <t>Capital
fin de période</t>
  </si>
  <si>
    <t>Tranche A' - Diaspora bonds</t>
  </si>
  <si>
    <t>7ans</t>
  </si>
  <si>
    <t>Tableau d'amortissement de la tranche A'  "Etat du Sénégal - Diaspora bonds 6,75% 2025-2032"</t>
  </si>
  <si>
    <t>Tranche B</t>
  </si>
  <si>
    <t>Tableau d'amortissement de la tranche B  "Etat du Sénégal 6,60% 2025-2030"</t>
  </si>
  <si>
    <t>Tranche B'</t>
  </si>
  <si>
    <t>Tableau d'amortissement de la tranche B'  "Etat du Sénégal 6,75% 2025-2032"</t>
  </si>
  <si>
    <t>Tranche C</t>
  </si>
  <si>
    <t>10 ans</t>
  </si>
  <si>
    <t>Tableau d'amortissement de la tranche C  "Etat du Sénégal 6,95% 2025-2035"</t>
  </si>
  <si>
    <t>Tranche A</t>
  </si>
  <si>
    <t>3 ans</t>
  </si>
  <si>
    <t>Tableau d'amortissement de l'Emission A  "Etat du Sénégal 6,40% 2025-2028"</t>
  </si>
  <si>
    <t>Tableau d'amortissement de l'Emission B  "Etat du Sénégal 6,60% 2025-2030"</t>
  </si>
  <si>
    <t>Tableau d'amortissement de l'Emission C  "Etat du Sénégal 6,75% 2025-2032"</t>
  </si>
  <si>
    <t>Tranche D</t>
  </si>
  <si>
    <t>Tableau d'amortissement de l'Emission D  "Etat du Sénégal 6,95% 2025-2035"</t>
  </si>
  <si>
    <t>Montant à renseigner qui doit être un multiple de 10 000 F CFA (le prix d'une obligation)</t>
  </si>
  <si>
    <t>Projet Sakinah - Simulateur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</si>
</sst>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;&quot;-&quot;"/>
    <numFmt numFmtId="165" formatCode="_-* #,##0_-;\-* #,##0_-;_-* &quot;-&quot;??_-;_-@_-"/>
  </numFmts>
  <fonts count="10" x14ac:knownFonts="1">
    <font>
      <sz val="11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16"/>
      <color rgb="FF0070C0"/>
      <name val="Arial"/>
      <family val="2"/>
    </font>
    <font>
      <b/>
      <i/>
      <sz val="11"/>
      <color theme="0"/>
      <name val="Arial"/>
      <family val="2"/>
    </font>
    <font>
      <b/>
      <sz val="11"/>
      <color rgb="FF0070C0"/>
      <name val="Arial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rgb="FF0070C0"/>
      </bottom>
      <diagonal/>
    </border>
    <border>
      <left/>
      <right style="thin">
        <color rgb="FF0070C0"/>
      </right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0" fontId="0" fillId="0" borderId="3" xfId="0" applyBorder="1"/>
    <xf numFmtId="0" fontId="3" fillId="0" borderId="0" xfId="0" applyFont="1"/>
    <xf numFmtId="0" fontId="4" fillId="0" borderId="0" xfId="0" applyFont="1"/>
    <xf numFmtId="0" fontId="4" fillId="6" borderId="0" xfId="0" applyFont="1" applyFill="1" applyAlignment="1">
      <alignment horizontal="center"/>
    </xf>
    <xf numFmtId="0" fontId="5" fillId="0" borderId="0" xfId="0" applyFont="1"/>
    <xf numFmtId="0" fontId="6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7" fillId="7" borderId="6" xfId="0" applyFont="1" applyFill="1" applyBorder="1"/>
    <xf numFmtId="0" fontId="7" fillId="7" borderId="7" xfId="0" applyFont="1" applyFill="1" applyBorder="1"/>
    <xf numFmtId="3" fontId="8" fillId="0" borderId="7" xfId="0" applyNumberFormat="1" applyFont="1" applyBorder="1"/>
    <xf numFmtId="10" fontId="8" fillId="0" borderId="8" xfId="0" applyNumberFormat="1" applyFont="1" applyBorder="1"/>
    <xf numFmtId="10" fontId="8" fillId="0" borderId="8" xfId="0" applyNumberFormat="1" applyFont="1" applyBorder="1" applyAlignment="1">
      <alignment horizontal="right"/>
    </xf>
    <xf numFmtId="0" fontId="8" fillId="0" borderId="8" xfId="0" applyFont="1" applyBorder="1"/>
    <xf numFmtId="0" fontId="8" fillId="0" borderId="8" xfId="0" applyFont="1" applyBorder="1" applyAlignment="1">
      <alignment horizontal="right"/>
    </xf>
    <xf numFmtId="164" fontId="2" fillId="4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0" fillId="0" borderId="0" xfId="0" applyNumberFormat="1"/>
    <xf numFmtId="3" fontId="0" fillId="0" borderId="0" xfId="0" applyNumberFormat="1"/>
    <xf numFmtId="10" fontId="0" fillId="0" borderId="0" xfId="2" applyNumberFormat="1" applyFont="1"/>
    <xf numFmtId="165" fontId="0" fillId="0" borderId="0" xfId="1" applyNumberFormat="1" applyFont="1"/>
    <xf numFmtId="3" fontId="8" fillId="8" borderId="7" xfId="0" applyNumberFormat="1" applyFont="1" applyFill="1" applyBorder="1"/>
    <xf numFmtId="0" fontId="6" fillId="0" borderId="0" xfId="0" applyFont="1"/>
    <xf numFmtId="0" fontId="0" fillId="8" borderId="0" xfId="0" applyFill="1"/>
    <xf numFmtId="0" fontId="1" fillId="2" borderId="0" xfId="0" applyFont="1" applyFill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BF2E-AB46-42C0-A8B8-9F2C509D3B4A}">
  <dimension ref="A1:I136"/>
  <sheetViews>
    <sheetView showGridLines="0" topLeftCell="A69" zoomScale="110" zoomScaleNormal="110" workbookViewId="0">
      <selection activeCell="J87" sqref="J87"/>
    </sheetView>
  </sheetViews>
  <sheetFormatPr baseColWidth="10" defaultColWidth="11" defaultRowHeight="14" x14ac:dyDescent="0.3"/>
  <cols>
    <col min="1" max="1" width="2.75" customWidth="1"/>
    <col min="3" max="3" width="4.75" customWidth="1"/>
    <col min="4" max="9" width="13.58203125" customWidth="1"/>
  </cols>
  <sheetData>
    <row r="1" spans="1:9" ht="20.5" thickBot="1" x14ac:dyDescent="0.45">
      <c r="A1" s="13" t="s">
        <v>0</v>
      </c>
      <c r="B1" s="8"/>
      <c r="C1" s="8"/>
      <c r="D1" s="8"/>
      <c r="E1" s="8"/>
      <c r="F1" s="8"/>
      <c r="G1" s="8"/>
      <c r="H1" s="8"/>
      <c r="I1" s="8"/>
    </row>
    <row r="2" spans="1:9" ht="20" x14ac:dyDescent="0.4">
      <c r="A2" s="9"/>
    </row>
    <row r="3" spans="1:9" ht="20" x14ac:dyDescent="0.4">
      <c r="A3" s="9"/>
    </row>
    <row r="4" spans="1:9" x14ac:dyDescent="0.3">
      <c r="C4" s="11">
        <v>1</v>
      </c>
      <c r="D4" s="12" t="s">
        <v>1</v>
      </c>
    </row>
    <row r="5" spans="1:9" x14ac:dyDescent="0.3">
      <c r="C5" s="10"/>
      <c r="D5" s="16"/>
      <c r="E5" s="16"/>
    </row>
    <row r="6" spans="1:9" x14ac:dyDescent="0.3">
      <c r="C6" s="15"/>
      <c r="D6" s="17" t="s">
        <v>2</v>
      </c>
      <c r="E6" s="19">
        <v>10000000000</v>
      </c>
    </row>
    <row r="7" spans="1:9" x14ac:dyDescent="0.3">
      <c r="C7" s="15"/>
      <c r="D7" s="17" t="s">
        <v>3</v>
      </c>
      <c r="E7" s="20">
        <v>6.6000000000000003E-2</v>
      </c>
    </row>
    <row r="8" spans="1:9" x14ac:dyDescent="0.3">
      <c r="C8" s="15"/>
      <c r="D8" s="17" t="s">
        <v>4</v>
      </c>
      <c r="E8" s="21" t="s">
        <v>5</v>
      </c>
    </row>
    <row r="9" spans="1:9" x14ac:dyDescent="0.3">
      <c r="C9" s="15"/>
      <c r="D9" s="17" t="s">
        <v>6</v>
      </c>
      <c r="E9" s="22">
        <v>8</v>
      </c>
    </row>
    <row r="10" spans="1:9" x14ac:dyDescent="0.3">
      <c r="C10" s="15"/>
      <c r="D10" s="18" t="s">
        <v>7</v>
      </c>
      <c r="E10" s="23">
        <v>2</v>
      </c>
    </row>
    <row r="12" spans="1:9" x14ac:dyDescent="0.3">
      <c r="D12" s="35" t="s">
        <v>8</v>
      </c>
      <c r="E12" s="35"/>
      <c r="F12" s="35"/>
      <c r="G12" s="35"/>
      <c r="H12" s="35"/>
      <c r="I12" s="35"/>
    </row>
    <row r="13" spans="1:9" ht="21" x14ac:dyDescent="0.3">
      <c r="D13" s="14" t="s">
        <v>9</v>
      </c>
      <c r="E13" s="14" t="s">
        <v>10</v>
      </c>
      <c r="F13" s="3" t="s">
        <v>11</v>
      </c>
      <c r="G13" s="3" t="s">
        <v>12</v>
      </c>
      <c r="H13" s="3" t="s">
        <v>13</v>
      </c>
      <c r="I13" s="14" t="s">
        <v>14</v>
      </c>
    </row>
    <row r="14" spans="1:9" x14ac:dyDescent="0.3">
      <c r="D14" s="4">
        <v>1</v>
      </c>
      <c r="E14" s="24">
        <f>+E6</f>
        <v>10000000000</v>
      </c>
      <c r="F14" s="24">
        <f>(+E14*$E$7)/2</f>
        <v>330000000</v>
      </c>
      <c r="G14" s="24">
        <f>IF($D14&lt;=$E$10,0,$E$6/$E$9)</f>
        <v>0</v>
      </c>
      <c r="H14" s="24">
        <f>+F14+G14</f>
        <v>330000000</v>
      </c>
      <c r="I14" s="24">
        <f>E14-G14</f>
        <v>10000000000</v>
      </c>
    </row>
    <row r="15" spans="1:9" x14ac:dyDescent="0.3">
      <c r="D15" s="5">
        <v>2</v>
      </c>
      <c r="E15" s="25">
        <f>+I14</f>
        <v>10000000000</v>
      </c>
      <c r="F15" s="25">
        <f t="shared" ref="F15:F22" si="0">(+E15*$E$7)/2</f>
        <v>330000000</v>
      </c>
      <c r="G15" s="25">
        <f t="shared" ref="G15:G23" si="1">IF($D15&lt;=$E$10,0,$E$6/$E$9)</f>
        <v>0</v>
      </c>
      <c r="H15" s="25">
        <f t="shared" ref="H15:H23" si="2">+F15+G15</f>
        <v>330000000</v>
      </c>
      <c r="I15" s="25">
        <f t="shared" ref="I15:I23" si="3">E15-G15</f>
        <v>10000000000</v>
      </c>
    </row>
    <row r="16" spans="1:9" x14ac:dyDescent="0.3">
      <c r="D16" s="4">
        <v>3</v>
      </c>
      <c r="E16" s="24">
        <f t="shared" ref="E16:E22" si="4">+I15</f>
        <v>10000000000</v>
      </c>
      <c r="F16" s="24">
        <f t="shared" si="0"/>
        <v>330000000</v>
      </c>
      <c r="G16" s="24">
        <f t="shared" si="1"/>
        <v>1250000000</v>
      </c>
      <c r="H16" s="24">
        <f t="shared" si="2"/>
        <v>1580000000</v>
      </c>
      <c r="I16" s="24">
        <f t="shared" si="3"/>
        <v>8750000000</v>
      </c>
    </row>
    <row r="17" spans="3:9" x14ac:dyDescent="0.3">
      <c r="D17" s="5">
        <v>4</v>
      </c>
      <c r="E17" s="25">
        <f t="shared" si="4"/>
        <v>8750000000</v>
      </c>
      <c r="F17" s="25">
        <f>(+E17*$E$7)/2</f>
        <v>288750000</v>
      </c>
      <c r="G17" s="25">
        <f>IF($D17&lt;=$E$10,0,$E$6/$E$9)</f>
        <v>1250000000</v>
      </c>
      <c r="H17" s="25">
        <f t="shared" si="2"/>
        <v>1538750000</v>
      </c>
      <c r="I17" s="25">
        <f t="shared" si="3"/>
        <v>7500000000</v>
      </c>
    </row>
    <row r="18" spans="3:9" x14ac:dyDescent="0.3">
      <c r="D18" s="4">
        <v>5</v>
      </c>
      <c r="E18" s="24">
        <f t="shared" si="4"/>
        <v>7500000000</v>
      </c>
      <c r="F18" s="24">
        <f t="shared" si="0"/>
        <v>247500000</v>
      </c>
      <c r="G18" s="24">
        <f t="shared" si="1"/>
        <v>1250000000</v>
      </c>
      <c r="H18" s="24">
        <f t="shared" si="2"/>
        <v>1497500000</v>
      </c>
      <c r="I18" s="24">
        <f t="shared" si="3"/>
        <v>6250000000</v>
      </c>
    </row>
    <row r="19" spans="3:9" x14ac:dyDescent="0.3">
      <c r="D19" s="5">
        <v>6</v>
      </c>
      <c r="E19" s="25">
        <f t="shared" si="4"/>
        <v>6250000000</v>
      </c>
      <c r="F19" s="25">
        <f t="shared" si="0"/>
        <v>206250000</v>
      </c>
      <c r="G19" s="25">
        <f t="shared" si="1"/>
        <v>1250000000</v>
      </c>
      <c r="H19" s="25">
        <f t="shared" si="2"/>
        <v>1456250000</v>
      </c>
      <c r="I19" s="25">
        <f t="shared" si="3"/>
        <v>5000000000</v>
      </c>
    </row>
    <row r="20" spans="3:9" x14ac:dyDescent="0.3">
      <c r="D20" s="4">
        <v>7</v>
      </c>
      <c r="E20" s="24">
        <f t="shared" si="4"/>
        <v>5000000000</v>
      </c>
      <c r="F20" s="24">
        <f t="shared" si="0"/>
        <v>165000000</v>
      </c>
      <c r="G20" s="24">
        <f t="shared" si="1"/>
        <v>1250000000</v>
      </c>
      <c r="H20" s="24">
        <f t="shared" si="2"/>
        <v>1415000000</v>
      </c>
      <c r="I20" s="24">
        <f t="shared" si="3"/>
        <v>3750000000</v>
      </c>
    </row>
    <row r="21" spans="3:9" x14ac:dyDescent="0.3">
      <c r="D21" s="5">
        <v>8</v>
      </c>
      <c r="E21" s="25">
        <f t="shared" si="4"/>
        <v>3750000000</v>
      </c>
      <c r="F21" s="25">
        <f t="shared" si="0"/>
        <v>123750000</v>
      </c>
      <c r="G21" s="25">
        <f t="shared" si="1"/>
        <v>1250000000</v>
      </c>
      <c r="H21" s="25">
        <f t="shared" si="2"/>
        <v>1373750000</v>
      </c>
      <c r="I21" s="25">
        <f t="shared" si="3"/>
        <v>2500000000</v>
      </c>
    </row>
    <row r="22" spans="3:9" x14ac:dyDescent="0.3">
      <c r="D22" s="4">
        <v>9</v>
      </c>
      <c r="E22" s="24">
        <f t="shared" si="4"/>
        <v>2500000000</v>
      </c>
      <c r="F22" s="24">
        <f t="shared" si="0"/>
        <v>82500000</v>
      </c>
      <c r="G22" s="24">
        <f t="shared" si="1"/>
        <v>1250000000</v>
      </c>
      <c r="H22" s="24">
        <f t="shared" si="2"/>
        <v>1332500000</v>
      </c>
      <c r="I22" s="24">
        <f t="shared" si="3"/>
        <v>1250000000</v>
      </c>
    </row>
    <row r="23" spans="3:9" x14ac:dyDescent="0.3">
      <c r="D23" s="5">
        <v>10</v>
      </c>
      <c r="E23" s="25">
        <f>+I22</f>
        <v>1250000000</v>
      </c>
      <c r="F23" s="25">
        <f>(+E23*$E$7)/2</f>
        <v>41250000</v>
      </c>
      <c r="G23" s="25">
        <f t="shared" si="1"/>
        <v>1250000000</v>
      </c>
      <c r="H23" s="25">
        <f t="shared" si="2"/>
        <v>1291250000</v>
      </c>
      <c r="I23" s="25">
        <f t="shared" si="3"/>
        <v>0</v>
      </c>
    </row>
    <row r="24" spans="3:9" hidden="1" x14ac:dyDescent="0.3">
      <c r="D24" s="1"/>
      <c r="E24" s="2"/>
      <c r="F24" s="2"/>
      <c r="G24" s="2"/>
      <c r="H24" s="2"/>
      <c r="I24" s="2"/>
    </row>
    <row r="25" spans="3:9" x14ac:dyDescent="0.3">
      <c r="D25" s="6"/>
      <c r="E25" s="6"/>
      <c r="F25" s="7">
        <f>SUM(F14:F23)</f>
        <v>2145000000</v>
      </c>
      <c r="G25" s="7">
        <f>SUM(G14:G23)</f>
        <v>10000000000</v>
      </c>
      <c r="H25" s="7">
        <f>SUM(H14:H23)</f>
        <v>12145000000</v>
      </c>
      <c r="I25" s="7"/>
    </row>
    <row r="27" spans="3:9" x14ac:dyDescent="0.3">
      <c r="C27" s="11">
        <v>2</v>
      </c>
      <c r="D27" s="12" t="s">
        <v>15</v>
      </c>
    </row>
    <row r="28" spans="3:9" x14ac:dyDescent="0.3">
      <c r="D28" s="16"/>
      <c r="E28" s="16"/>
    </row>
    <row r="29" spans="3:9" x14ac:dyDescent="0.3">
      <c r="D29" s="17" t="s">
        <v>2</v>
      </c>
      <c r="E29" s="19">
        <v>10000000000</v>
      </c>
    </row>
    <row r="30" spans="3:9" x14ac:dyDescent="0.3">
      <c r="D30" s="17" t="s">
        <v>3</v>
      </c>
      <c r="E30" s="20">
        <v>6.7500000000000004E-2</v>
      </c>
    </row>
    <row r="31" spans="3:9" x14ac:dyDescent="0.3">
      <c r="D31" s="17" t="s">
        <v>4</v>
      </c>
      <c r="E31" s="23" t="s">
        <v>16</v>
      </c>
    </row>
    <row r="32" spans="3:9" x14ac:dyDescent="0.3">
      <c r="D32" s="17" t="s">
        <v>6</v>
      </c>
      <c r="E32" s="22">
        <v>10</v>
      </c>
    </row>
    <row r="33" spans="4:9" x14ac:dyDescent="0.3">
      <c r="D33" s="18" t="s">
        <v>7</v>
      </c>
      <c r="E33" s="23">
        <v>4</v>
      </c>
    </row>
    <row r="35" spans="4:9" x14ac:dyDescent="0.3">
      <c r="D35" s="35" t="s">
        <v>17</v>
      </c>
      <c r="E35" s="35"/>
      <c r="F35" s="35"/>
      <c r="G35" s="35"/>
      <c r="H35" s="35"/>
      <c r="I35" s="35"/>
    </row>
    <row r="36" spans="4:9" ht="21" x14ac:dyDescent="0.3">
      <c r="D36" s="14" t="s">
        <v>9</v>
      </c>
      <c r="E36" s="14" t="s">
        <v>10</v>
      </c>
      <c r="F36" s="3" t="s">
        <v>11</v>
      </c>
      <c r="G36" s="3" t="s">
        <v>12</v>
      </c>
      <c r="H36" s="3" t="s">
        <v>13</v>
      </c>
      <c r="I36" s="14" t="s">
        <v>14</v>
      </c>
    </row>
    <row r="37" spans="4:9" x14ac:dyDescent="0.3">
      <c r="D37" s="4">
        <v>1</v>
      </c>
      <c r="E37" s="24">
        <f>+E29</f>
        <v>10000000000</v>
      </c>
      <c r="F37" s="24">
        <f>(+E37*$E$30)/2</f>
        <v>337500000</v>
      </c>
      <c r="G37" s="24">
        <f>IF(D37&lt;=$E$33,0,$E$37/$E$32)</f>
        <v>0</v>
      </c>
      <c r="H37" s="24">
        <f>+F37+G37</f>
        <v>337500000</v>
      </c>
      <c r="I37" s="24">
        <f>E37-G37</f>
        <v>10000000000</v>
      </c>
    </row>
    <row r="38" spans="4:9" x14ac:dyDescent="0.3">
      <c r="D38" s="5">
        <f>D37+1</f>
        <v>2</v>
      </c>
      <c r="E38" s="25">
        <f>+I37</f>
        <v>10000000000</v>
      </c>
      <c r="F38" s="25">
        <f>(+E38*$E$30)/2</f>
        <v>337500000</v>
      </c>
      <c r="G38" s="25">
        <f t="shared" ref="G38:G48" si="5">IF(D38&lt;=$E$33,0,$E$37/$E$32)</f>
        <v>0</v>
      </c>
      <c r="H38" s="25">
        <f t="shared" ref="H38:H46" si="6">+F38+G38</f>
        <v>337500000</v>
      </c>
      <c r="I38" s="25">
        <f t="shared" ref="I38:I46" si="7">E38-G38</f>
        <v>10000000000</v>
      </c>
    </row>
    <row r="39" spans="4:9" x14ac:dyDescent="0.3">
      <c r="D39" s="4">
        <f t="shared" ref="D39:D48" si="8">D38+1</f>
        <v>3</v>
      </c>
      <c r="E39" s="24">
        <f t="shared" ref="E39:E45" si="9">+I38</f>
        <v>10000000000</v>
      </c>
      <c r="F39" s="24">
        <f t="shared" ref="F39:F49" si="10">(+E39*$E$30)/2</f>
        <v>337500000</v>
      </c>
      <c r="G39" s="24">
        <f t="shared" si="5"/>
        <v>0</v>
      </c>
      <c r="H39" s="24">
        <f t="shared" si="6"/>
        <v>337500000</v>
      </c>
      <c r="I39" s="24">
        <f t="shared" si="7"/>
        <v>10000000000</v>
      </c>
    </row>
    <row r="40" spans="4:9" x14ac:dyDescent="0.3">
      <c r="D40" s="5">
        <f t="shared" si="8"/>
        <v>4</v>
      </c>
      <c r="E40" s="25">
        <f t="shared" si="9"/>
        <v>10000000000</v>
      </c>
      <c r="F40" s="25">
        <f t="shared" si="10"/>
        <v>337500000</v>
      </c>
      <c r="G40" s="25">
        <f t="shared" si="5"/>
        <v>0</v>
      </c>
      <c r="H40" s="25">
        <f t="shared" si="6"/>
        <v>337500000</v>
      </c>
      <c r="I40" s="25">
        <f t="shared" si="7"/>
        <v>10000000000</v>
      </c>
    </row>
    <row r="41" spans="4:9" x14ac:dyDescent="0.3">
      <c r="D41" s="4">
        <f t="shared" si="8"/>
        <v>5</v>
      </c>
      <c r="E41" s="24">
        <f t="shared" si="9"/>
        <v>10000000000</v>
      </c>
      <c r="F41" s="24">
        <f t="shared" si="10"/>
        <v>337500000</v>
      </c>
      <c r="G41" s="24">
        <f t="shared" si="5"/>
        <v>1000000000</v>
      </c>
      <c r="H41" s="24">
        <f t="shared" si="6"/>
        <v>1337500000</v>
      </c>
      <c r="I41" s="24">
        <f t="shared" si="7"/>
        <v>9000000000</v>
      </c>
    </row>
    <row r="42" spans="4:9" x14ac:dyDescent="0.3">
      <c r="D42" s="5">
        <f t="shared" si="8"/>
        <v>6</v>
      </c>
      <c r="E42" s="25">
        <f t="shared" si="9"/>
        <v>9000000000</v>
      </c>
      <c r="F42" s="25">
        <f t="shared" si="10"/>
        <v>303750000</v>
      </c>
      <c r="G42" s="25">
        <f t="shared" si="5"/>
        <v>1000000000</v>
      </c>
      <c r="H42" s="25">
        <f t="shared" si="6"/>
        <v>1303750000</v>
      </c>
      <c r="I42" s="25">
        <f t="shared" si="7"/>
        <v>8000000000</v>
      </c>
    </row>
    <row r="43" spans="4:9" x14ac:dyDescent="0.3">
      <c r="D43" s="4">
        <f t="shared" si="8"/>
        <v>7</v>
      </c>
      <c r="E43" s="24">
        <f t="shared" si="9"/>
        <v>8000000000</v>
      </c>
      <c r="F43" s="24">
        <f t="shared" si="10"/>
        <v>270000000</v>
      </c>
      <c r="G43" s="24">
        <f t="shared" si="5"/>
        <v>1000000000</v>
      </c>
      <c r="H43" s="24">
        <f t="shared" si="6"/>
        <v>1270000000</v>
      </c>
      <c r="I43" s="24">
        <f t="shared" si="7"/>
        <v>7000000000</v>
      </c>
    </row>
    <row r="44" spans="4:9" x14ac:dyDescent="0.3">
      <c r="D44" s="5">
        <f t="shared" si="8"/>
        <v>8</v>
      </c>
      <c r="E44" s="25">
        <f t="shared" si="9"/>
        <v>7000000000</v>
      </c>
      <c r="F44" s="25">
        <f t="shared" si="10"/>
        <v>236250000.00000003</v>
      </c>
      <c r="G44" s="25">
        <f t="shared" si="5"/>
        <v>1000000000</v>
      </c>
      <c r="H44" s="25">
        <f t="shared" si="6"/>
        <v>1236250000</v>
      </c>
      <c r="I44" s="25">
        <f t="shared" si="7"/>
        <v>6000000000</v>
      </c>
    </row>
    <row r="45" spans="4:9" x14ac:dyDescent="0.3">
      <c r="D45" s="4">
        <f t="shared" si="8"/>
        <v>9</v>
      </c>
      <c r="E45" s="24">
        <f t="shared" si="9"/>
        <v>6000000000</v>
      </c>
      <c r="F45" s="24">
        <f t="shared" si="10"/>
        <v>202500000</v>
      </c>
      <c r="G45" s="24">
        <f t="shared" si="5"/>
        <v>1000000000</v>
      </c>
      <c r="H45" s="24">
        <f t="shared" si="6"/>
        <v>1202500000</v>
      </c>
      <c r="I45" s="24">
        <f t="shared" si="7"/>
        <v>5000000000</v>
      </c>
    </row>
    <row r="46" spans="4:9" x14ac:dyDescent="0.3">
      <c r="D46" s="5">
        <f t="shared" si="8"/>
        <v>10</v>
      </c>
      <c r="E46" s="25">
        <f>+I45</f>
        <v>5000000000</v>
      </c>
      <c r="F46" s="25">
        <f t="shared" si="10"/>
        <v>168750000</v>
      </c>
      <c r="G46" s="25">
        <f t="shared" si="5"/>
        <v>1000000000</v>
      </c>
      <c r="H46" s="25">
        <f t="shared" si="6"/>
        <v>1168750000</v>
      </c>
      <c r="I46" s="25">
        <f t="shared" si="7"/>
        <v>4000000000</v>
      </c>
    </row>
    <row r="47" spans="4:9" x14ac:dyDescent="0.3">
      <c r="D47" s="4">
        <f t="shared" si="8"/>
        <v>11</v>
      </c>
      <c r="E47" s="24">
        <f t="shared" ref="E47:E48" si="11">+I46</f>
        <v>4000000000</v>
      </c>
      <c r="F47" s="24">
        <f t="shared" si="10"/>
        <v>135000000</v>
      </c>
      <c r="G47" s="24">
        <f t="shared" si="5"/>
        <v>1000000000</v>
      </c>
      <c r="H47" s="24">
        <f t="shared" ref="H47:H48" si="12">+F47+G47</f>
        <v>1135000000</v>
      </c>
      <c r="I47" s="24">
        <f t="shared" ref="I47:I48" si="13">E47-G47</f>
        <v>3000000000</v>
      </c>
    </row>
    <row r="48" spans="4:9" x14ac:dyDescent="0.3">
      <c r="D48" s="5">
        <f t="shared" si="8"/>
        <v>12</v>
      </c>
      <c r="E48" s="25">
        <f t="shared" si="11"/>
        <v>3000000000</v>
      </c>
      <c r="F48" s="25">
        <f>(+E48*$E$30)/2</f>
        <v>101250000</v>
      </c>
      <c r="G48" s="25">
        <f t="shared" si="5"/>
        <v>1000000000</v>
      </c>
      <c r="H48" s="25">
        <f t="shared" si="12"/>
        <v>1101250000</v>
      </c>
      <c r="I48" s="25">
        <f t="shared" si="13"/>
        <v>2000000000</v>
      </c>
    </row>
    <row r="49" spans="3:9" x14ac:dyDescent="0.3">
      <c r="D49" s="4">
        <f t="shared" ref="D49:D50" si="14">D48+1</f>
        <v>13</v>
      </c>
      <c r="E49" s="24">
        <f t="shared" ref="E49:E50" si="15">+I48</f>
        <v>2000000000</v>
      </c>
      <c r="F49" s="24">
        <f t="shared" si="10"/>
        <v>67500000</v>
      </c>
      <c r="G49" s="24">
        <f t="shared" ref="G49" si="16">IF(D49&lt;=$E$33,0,$E$37/$E$32)</f>
        <v>1000000000</v>
      </c>
      <c r="H49" s="24">
        <f t="shared" ref="H49" si="17">+F49+G49</f>
        <v>1067500000</v>
      </c>
      <c r="I49" s="24">
        <f t="shared" ref="I49:I50" si="18">E49-G49</f>
        <v>1000000000</v>
      </c>
    </row>
    <row r="50" spans="3:9" x14ac:dyDescent="0.3">
      <c r="D50" s="5">
        <f t="shared" si="14"/>
        <v>14</v>
      </c>
      <c r="E50" s="25">
        <f t="shared" si="15"/>
        <v>1000000000</v>
      </c>
      <c r="F50" s="25">
        <f>(+E50*$E$30)/2</f>
        <v>33750000</v>
      </c>
      <c r="G50" s="25">
        <f>IF(D50&lt;=$E$33,0,$E$37/$E$32)</f>
        <v>1000000000</v>
      </c>
      <c r="H50" s="25">
        <f>+F50+G50</f>
        <v>1033750000</v>
      </c>
      <c r="I50" s="25">
        <f t="shared" si="18"/>
        <v>0</v>
      </c>
    </row>
    <row r="51" spans="3:9" hidden="1" x14ac:dyDescent="0.3">
      <c r="D51" s="1"/>
      <c r="E51" s="2"/>
      <c r="F51" s="2"/>
      <c r="G51" s="2"/>
      <c r="H51" s="2"/>
      <c r="I51" s="2"/>
    </row>
    <row r="52" spans="3:9" x14ac:dyDescent="0.3">
      <c r="D52" s="6"/>
      <c r="E52" s="6"/>
      <c r="F52" s="7">
        <f>SUM(F37:F50)</f>
        <v>3206250000</v>
      </c>
      <c r="G52" s="7">
        <f>SUM(G37:G50)</f>
        <v>10000000000</v>
      </c>
      <c r="H52" s="7">
        <f>SUM(H37:H50)</f>
        <v>13206250000</v>
      </c>
      <c r="I52" s="7"/>
    </row>
    <row r="53" spans="3:9" x14ac:dyDescent="0.3">
      <c r="D53" s="26"/>
      <c r="E53" s="26"/>
      <c r="F53" s="27"/>
      <c r="G53" s="27"/>
      <c r="H53" s="27"/>
      <c r="I53" s="27"/>
    </row>
    <row r="54" spans="3:9" x14ac:dyDescent="0.3">
      <c r="C54" s="11">
        <v>3</v>
      </c>
      <c r="D54" s="12" t="s">
        <v>18</v>
      </c>
    </row>
    <row r="55" spans="3:9" x14ac:dyDescent="0.3">
      <c r="C55" s="10"/>
      <c r="D55" s="16"/>
      <c r="E55" s="16"/>
    </row>
    <row r="56" spans="3:9" x14ac:dyDescent="0.3">
      <c r="C56" s="15"/>
      <c r="D56" s="17" t="s">
        <v>2</v>
      </c>
      <c r="E56" s="19">
        <v>120000000000</v>
      </c>
    </row>
    <row r="57" spans="3:9" x14ac:dyDescent="0.3">
      <c r="C57" s="15"/>
      <c r="D57" s="17" t="s">
        <v>3</v>
      </c>
      <c r="E57" s="20">
        <v>6.6000000000000003E-2</v>
      </c>
    </row>
    <row r="58" spans="3:9" x14ac:dyDescent="0.3">
      <c r="C58" s="15"/>
      <c r="D58" s="17" t="s">
        <v>4</v>
      </c>
      <c r="E58" s="21" t="s">
        <v>5</v>
      </c>
    </row>
    <row r="59" spans="3:9" x14ac:dyDescent="0.3">
      <c r="C59" s="15"/>
      <c r="D59" s="17" t="s">
        <v>6</v>
      </c>
      <c r="E59" s="22">
        <v>8</v>
      </c>
    </row>
    <row r="60" spans="3:9" x14ac:dyDescent="0.3">
      <c r="C60" s="15"/>
      <c r="D60" s="18" t="s">
        <v>7</v>
      </c>
      <c r="E60" s="23">
        <v>2</v>
      </c>
    </row>
    <row r="62" spans="3:9" x14ac:dyDescent="0.3">
      <c r="D62" s="35" t="s">
        <v>19</v>
      </c>
      <c r="E62" s="35"/>
      <c r="F62" s="35"/>
      <c r="G62" s="35"/>
      <c r="H62" s="35"/>
      <c r="I62" s="35"/>
    </row>
    <row r="63" spans="3:9" ht="21" x14ac:dyDescent="0.3">
      <c r="D63" s="14" t="s">
        <v>9</v>
      </c>
      <c r="E63" s="14" t="s">
        <v>10</v>
      </c>
      <c r="F63" s="3" t="s">
        <v>11</v>
      </c>
      <c r="G63" s="3" t="s">
        <v>12</v>
      </c>
      <c r="H63" s="3" t="s">
        <v>13</v>
      </c>
      <c r="I63" s="14" t="s">
        <v>14</v>
      </c>
    </row>
    <row r="64" spans="3:9" x14ac:dyDescent="0.3">
      <c r="D64" s="4">
        <v>1</v>
      </c>
      <c r="E64" s="24">
        <f>+E56</f>
        <v>120000000000</v>
      </c>
      <c r="F64" s="24">
        <f>(+E64*$E$57)/2</f>
        <v>3960000000</v>
      </c>
      <c r="G64" s="24">
        <f>IF($D64&lt;=$E$60,0,$E$56/$E$59)</f>
        <v>0</v>
      </c>
      <c r="H64" s="24">
        <f>+F64+G64</f>
        <v>3960000000</v>
      </c>
      <c r="I64" s="24">
        <f>E64-G64</f>
        <v>120000000000</v>
      </c>
    </row>
    <row r="65" spans="3:9" x14ac:dyDescent="0.3">
      <c r="D65" s="5">
        <v>2</v>
      </c>
      <c r="E65" s="25">
        <f>+I64</f>
        <v>120000000000</v>
      </c>
      <c r="F65" s="25">
        <f t="shared" ref="F65:F73" si="19">(+E65*$E$57)/2</f>
        <v>3960000000</v>
      </c>
      <c r="G65" s="25">
        <f t="shared" ref="G65:G73" si="20">IF($D65&lt;=$E$60,0,$E$56/$E$59)</f>
        <v>0</v>
      </c>
      <c r="H65" s="25">
        <f t="shared" ref="H65:H73" si="21">+F65+G65</f>
        <v>3960000000</v>
      </c>
      <c r="I65" s="25">
        <f t="shared" ref="I65:I73" si="22">E65-G65</f>
        <v>120000000000</v>
      </c>
    </row>
    <row r="66" spans="3:9" x14ac:dyDescent="0.3">
      <c r="D66" s="4">
        <v>3</v>
      </c>
      <c r="E66" s="24">
        <f t="shared" ref="E66:E72" si="23">+I65</f>
        <v>120000000000</v>
      </c>
      <c r="F66" s="24">
        <f t="shared" si="19"/>
        <v>3960000000</v>
      </c>
      <c r="G66" s="24">
        <f t="shared" si="20"/>
        <v>15000000000</v>
      </c>
      <c r="H66" s="24">
        <f t="shared" si="21"/>
        <v>18960000000</v>
      </c>
      <c r="I66" s="24">
        <f t="shared" si="22"/>
        <v>105000000000</v>
      </c>
    </row>
    <row r="67" spans="3:9" x14ac:dyDescent="0.3">
      <c r="D67" s="5">
        <v>4</v>
      </c>
      <c r="E67" s="25">
        <f t="shared" si="23"/>
        <v>105000000000</v>
      </c>
      <c r="F67" s="25">
        <f t="shared" si="19"/>
        <v>3465000000</v>
      </c>
      <c r="G67" s="25">
        <f t="shared" si="20"/>
        <v>15000000000</v>
      </c>
      <c r="H67" s="25">
        <f t="shared" si="21"/>
        <v>18465000000</v>
      </c>
      <c r="I67" s="25">
        <f t="shared" si="22"/>
        <v>90000000000</v>
      </c>
    </row>
    <row r="68" spans="3:9" x14ac:dyDescent="0.3">
      <c r="D68" s="4">
        <v>5</v>
      </c>
      <c r="E68" s="24">
        <f t="shared" si="23"/>
        <v>90000000000</v>
      </c>
      <c r="F68" s="24">
        <f t="shared" si="19"/>
        <v>2970000000</v>
      </c>
      <c r="G68" s="24">
        <f t="shared" si="20"/>
        <v>15000000000</v>
      </c>
      <c r="H68" s="24">
        <f t="shared" si="21"/>
        <v>17970000000</v>
      </c>
      <c r="I68" s="24">
        <f t="shared" si="22"/>
        <v>75000000000</v>
      </c>
    </row>
    <row r="69" spans="3:9" x14ac:dyDescent="0.3">
      <c r="D69" s="5">
        <v>6</v>
      </c>
      <c r="E69" s="25">
        <f t="shared" si="23"/>
        <v>75000000000</v>
      </c>
      <c r="F69" s="25">
        <f t="shared" si="19"/>
        <v>2475000000</v>
      </c>
      <c r="G69" s="25">
        <f t="shared" si="20"/>
        <v>15000000000</v>
      </c>
      <c r="H69" s="25">
        <f t="shared" si="21"/>
        <v>17475000000</v>
      </c>
      <c r="I69" s="25">
        <f t="shared" si="22"/>
        <v>60000000000</v>
      </c>
    </row>
    <row r="70" spans="3:9" x14ac:dyDescent="0.3">
      <c r="D70" s="4">
        <v>7</v>
      </c>
      <c r="E70" s="24">
        <f t="shared" si="23"/>
        <v>60000000000</v>
      </c>
      <c r="F70" s="24">
        <f t="shared" si="19"/>
        <v>1980000000</v>
      </c>
      <c r="G70" s="24">
        <f t="shared" si="20"/>
        <v>15000000000</v>
      </c>
      <c r="H70" s="24">
        <f t="shared" si="21"/>
        <v>16980000000</v>
      </c>
      <c r="I70" s="24">
        <f t="shared" si="22"/>
        <v>45000000000</v>
      </c>
    </row>
    <row r="71" spans="3:9" x14ac:dyDescent="0.3">
      <c r="D71" s="5">
        <v>8</v>
      </c>
      <c r="E71" s="25">
        <f t="shared" si="23"/>
        <v>45000000000</v>
      </c>
      <c r="F71" s="25">
        <f t="shared" si="19"/>
        <v>1485000000</v>
      </c>
      <c r="G71" s="25">
        <f t="shared" si="20"/>
        <v>15000000000</v>
      </c>
      <c r="H71" s="25">
        <f t="shared" si="21"/>
        <v>16485000000</v>
      </c>
      <c r="I71" s="25">
        <f t="shared" si="22"/>
        <v>30000000000</v>
      </c>
    </row>
    <row r="72" spans="3:9" x14ac:dyDescent="0.3">
      <c r="D72" s="4">
        <v>9</v>
      </c>
      <c r="E72" s="24">
        <f t="shared" si="23"/>
        <v>30000000000</v>
      </c>
      <c r="F72" s="24">
        <f t="shared" si="19"/>
        <v>990000000</v>
      </c>
      <c r="G72" s="24">
        <f t="shared" si="20"/>
        <v>15000000000</v>
      </c>
      <c r="H72" s="24">
        <f t="shared" si="21"/>
        <v>15990000000</v>
      </c>
      <c r="I72" s="24">
        <f t="shared" si="22"/>
        <v>15000000000</v>
      </c>
    </row>
    <row r="73" spans="3:9" x14ac:dyDescent="0.3">
      <c r="D73" s="5">
        <v>10</v>
      </c>
      <c r="E73" s="25">
        <f>+I72</f>
        <v>15000000000</v>
      </c>
      <c r="F73" s="25">
        <f t="shared" si="19"/>
        <v>495000000</v>
      </c>
      <c r="G73" s="25">
        <f t="shared" si="20"/>
        <v>15000000000</v>
      </c>
      <c r="H73" s="25">
        <f t="shared" si="21"/>
        <v>15495000000</v>
      </c>
      <c r="I73" s="25">
        <f t="shared" si="22"/>
        <v>0</v>
      </c>
    </row>
    <row r="74" spans="3:9" hidden="1" x14ac:dyDescent="0.3">
      <c r="D74" s="1"/>
      <c r="E74" s="2"/>
      <c r="F74" s="2"/>
      <c r="G74" s="2"/>
      <c r="H74" s="2"/>
      <c r="I74" s="2"/>
    </row>
    <row r="75" spans="3:9" x14ac:dyDescent="0.3">
      <c r="D75" s="6"/>
      <c r="E75" s="6"/>
      <c r="F75" s="7">
        <f>SUM(F64:F73)</f>
        <v>25740000000</v>
      </c>
      <c r="G75" s="7">
        <f>SUM(G64:G73)</f>
        <v>120000000000</v>
      </c>
      <c r="H75" s="7">
        <f>SUM(H64:H73)</f>
        <v>145740000000</v>
      </c>
      <c r="I75" s="7"/>
    </row>
    <row r="77" spans="3:9" x14ac:dyDescent="0.3">
      <c r="C77" s="11">
        <v>4</v>
      </c>
      <c r="D77" s="12" t="s">
        <v>20</v>
      </c>
    </row>
    <row r="78" spans="3:9" x14ac:dyDescent="0.3">
      <c r="D78" s="16"/>
      <c r="E78" s="16"/>
    </row>
    <row r="79" spans="3:9" x14ac:dyDescent="0.3">
      <c r="D79" s="17" t="s">
        <v>2</v>
      </c>
      <c r="E79" s="19">
        <v>120000000000</v>
      </c>
    </row>
    <row r="80" spans="3:9" x14ac:dyDescent="0.3">
      <c r="D80" s="17" t="s">
        <v>3</v>
      </c>
      <c r="E80" s="20">
        <v>6.7500000000000004E-2</v>
      </c>
    </row>
    <row r="81" spans="4:9" x14ac:dyDescent="0.3">
      <c r="D81" s="17" t="s">
        <v>4</v>
      </c>
      <c r="E81" s="23" t="s">
        <v>16</v>
      </c>
    </row>
    <row r="82" spans="4:9" x14ac:dyDescent="0.3">
      <c r="D82" s="17" t="s">
        <v>6</v>
      </c>
      <c r="E82" s="22">
        <v>10</v>
      </c>
    </row>
    <row r="83" spans="4:9" x14ac:dyDescent="0.3">
      <c r="D83" s="18" t="s">
        <v>7</v>
      </c>
      <c r="E83" s="23">
        <v>4</v>
      </c>
    </row>
    <row r="85" spans="4:9" x14ac:dyDescent="0.3">
      <c r="D85" s="35" t="s">
        <v>21</v>
      </c>
      <c r="E85" s="35"/>
      <c r="F85" s="35"/>
      <c r="G85" s="35"/>
      <c r="H85" s="35"/>
      <c r="I85" s="35"/>
    </row>
    <row r="86" spans="4:9" ht="21" x14ac:dyDescent="0.3">
      <c r="D86" s="14" t="s">
        <v>9</v>
      </c>
      <c r="E86" s="14" t="s">
        <v>10</v>
      </c>
      <c r="F86" s="3" t="s">
        <v>11</v>
      </c>
      <c r="G86" s="3" t="s">
        <v>12</v>
      </c>
      <c r="H86" s="3" t="s">
        <v>13</v>
      </c>
      <c r="I86" s="14" t="s">
        <v>14</v>
      </c>
    </row>
    <row r="87" spans="4:9" x14ac:dyDescent="0.3">
      <c r="D87" s="4">
        <v>1</v>
      </c>
      <c r="E87" s="24">
        <f>+E79</f>
        <v>120000000000</v>
      </c>
      <c r="F87" s="24">
        <f>(+E87*$E$80)/2</f>
        <v>4050000000.0000005</v>
      </c>
      <c r="G87" s="24">
        <f>IF(D87&lt;=$E$83,0,$E$87/$E$82)</f>
        <v>0</v>
      </c>
      <c r="H87" s="24">
        <f>+F87+G87</f>
        <v>4050000000.0000005</v>
      </c>
      <c r="I87" s="24">
        <f>E87-G87</f>
        <v>120000000000</v>
      </c>
    </row>
    <row r="88" spans="4:9" x14ac:dyDescent="0.3">
      <c r="D88" s="5">
        <f>D87+1</f>
        <v>2</v>
      </c>
      <c r="E88" s="25">
        <f>+I87</f>
        <v>120000000000</v>
      </c>
      <c r="F88" s="25">
        <f t="shared" ref="F88:F100" si="24">(+E88*$E$80)/2</f>
        <v>4050000000.0000005</v>
      </c>
      <c r="G88" s="25">
        <f t="shared" ref="G88:G100" si="25">IF(D88&lt;=$E$83,0,$E$87/$E$82)</f>
        <v>0</v>
      </c>
      <c r="H88" s="25">
        <f t="shared" ref="H88:H99" si="26">+F88+G88</f>
        <v>4050000000.0000005</v>
      </c>
      <c r="I88" s="25">
        <f t="shared" ref="I88:I100" si="27">E88-G88</f>
        <v>120000000000</v>
      </c>
    </row>
    <row r="89" spans="4:9" x14ac:dyDescent="0.3">
      <c r="D89" s="4">
        <f t="shared" ref="D89:D100" si="28">D88+1</f>
        <v>3</v>
      </c>
      <c r="E89" s="24">
        <f t="shared" ref="E89:E95" si="29">+I88</f>
        <v>120000000000</v>
      </c>
      <c r="F89" s="24">
        <f t="shared" si="24"/>
        <v>4050000000.0000005</v>
      </c>
      <c r="G89" s="24">
        <f t="shared" si="25"/>
        <v>0</v>
      </c>
      <c r="H89" s="24">
        <f t="shared" si="26"/>
        <v>4050000000.0000005</v>
      </c>
      <c r="I89" s="24">
        <f t="shared" si="27"/>
        <v>120000000000</v>
      </c>
    </row>
    <row r="90" spans="4:9" x14ac:dyDescent="0.3">
      <c r="D90" s="5">
        <f t="shared" si="28"/>
        <v>4</v>
      </c>
      <c r="E90" s="25">
        <f t="shared" si="29"/>
        <v>120000000000</v>
      </c>
      <c r="F90" s="25">
        <f t="shared" si="24"/>
        <v>4050000000.0000005</v>
      </c>
      <c r="G90" s="25">
        <f t="shared" si="25"/>
        <v>0</v>
      </c>
      <c r="H90" s="25">
        <f t="shared" si="26"/>
        <v>4050000000.0000005</v>
      </c>
      <c r="I90" s="25">
        <f t="shared" si="27"/>
        <v>120000000000</v>
      </c>
    </row>
    <row r="91" spans="4:9" x14ac:dyDescent="0.3">
      <c r="D91" s="4">
        <f t="shared" si="28"/>
        <v>5</v>
      </c>
      <c r="E91" s="24">
        <f t="shared" si="29"/>
        <v>120000000000</v>
      </c>
      <c r="F91" s="24">
        <f t="shared" si="24"/>
        <v>4050000000.0000005</v>
      </c>
      <c r="G91" s="24">
        <f t="shared" si="25"/>
        <v>12000000000</v>
      </c>
      <c r="H91" s="24">
        <f t="shared" si="26"/>
        <v>16050000000</v>
      </c>
      <c r="I91" s="24">
        <f t="shared" si="27"/>
        <v>108000000000</v>
      </c>
    </row>
    <row r="92" spans="4:9" x14ac:dyDescent="0.3">
      <c r="D92" s="5">
        <f t="shared" si="28"/>
        <v>6</v>
      </c>
      <c r="E92" s="25">
        <f t="shared" si="29"/>
        <v>108000000000</v>
      </c>
      <c r="F92" s="25">
        <f t="shared" si="24"/>
        <v>3645000000.0000005</v>
      </c>
      <c r="G92" s="25">
        <f t="shared" si="25"/>
        <v>12000000000</v>
      </c>
      <c r="H92" s="25">
        <f t="shared" si="26"/>
        <v>15645000000</v>
      </c>
      <c r="I92" s="25">
        <f t="shared" si="27"/>
        <v>96000000000</v>
      </c>
    </row>
    <row r="93" spans="4:9" x14ac:dyDescent="0.3">
      <c r="D93" s="4">
        <f t="shared" si="28"/>
        <v>7</v>
      </c>
      <c r="E93" s="24">
        <f t="shared" si="29"/>
        <v>96000000000</v>
      </c>
      <c r="F93" s="24">
        <f t="shared" si="24"/>
        <v>3240000000</v>
      </c>
      <c r="G93" s="24">
        <f t="shared" si="25"/>
        <v>12000000000</v>
      </c>
      <c r="H93" s="24">
        <f t="shared" si="26"/>
        <v>15240000000</v>
      </c>
      <c r="I93" s="24">
        <f t="shared" si="27"/>
        <v>84000000000</v>
      </c>
    </row>
    <row r="94" spans="4:9" x14ac:dyDescent="0.3">
      <c r="D94" s="5">
        <f t="shared" si="28"/>
        <v>8</v>
      </c>
      <c r="E94" s="25">
        <f t="shared" si="29"/>
        <v>84000000000</v>
      </c>
      <c r="F94" s="25">
        <f t="shared" si="24"/>
        <v>2835000000</v>
      </c>
      <c r="G94" s="25">
        <f t="shared" si="25"/>
        <v>12000000000</v>
      </c>
      <c r="H94" s="25">
        <f t="shared" si="26"/>
        <v>14835000000</v>
      </c>
      <c r="I94" s="25">
        <f t="shared" si="27"/>
        <v>72000000000</v>
      </c>
    </row>
    <row r="95" spans="4:9" x14ac:dyDescent="0.3">
      <c r="D95" s="4">
        <f t="shared" si="28"/>
        <v>9</v>
      </c>
      <c r="E95" s="24">
        <f t="shared" si="29"/>
        <v>72000000000</v>
      </c>
      <c r="F95" s="24">
        <f t="shared" si="24"/>
        <v>2430000000</v>
      </c>
      <c r="G95" s="24">
        <f t="shared" si="25"/>
        <v>12000000000</v>
      </c>
      <c r="H95" s="24">
        <f t="shared" si="26"/>
        <v>14430000000</v>
      </c>
      <c r="I95" s="24">
        <f t="shared" si="27"/>
        <v>60000000000</v>
      </c>
    </row>
    <row r="96" spans="4:9" x14ac:dyDescent="0.3">
      <c r="D96" s="5">
        <f t="shared" si="28"/>
        <v>10</v>
      </c>
      <c r="E96" s="25">
        <f>+I95</f>
        <v>60000000000</v>
      </c>
      <c r="F96" s="25">
        <f t="shared" si="24"/>
        <v>2025000000.0000002</v>
      </c>
      <c r="G96" s="25">
        <f t="shared" si="25"/>
        <v>12000000000</v>
      </c>
      <c r="H96" s="25">
        <f t="shared" si="26"/>
        <v>14025000000</v>
      </c>
      <c r="I96" s="25">
        <f t="shared" si="27"/>
        <v>48000000000</v>
      </c>
    </row>
    <row r="97" spans="3:9" x14ac:dyDescent="0.3">
      <c r="D97" s="4">
        <f t="shared" si="28"/>
        <v>11</v>
      </c>
      <c r="E97" s="24">
        <f t="shared" ref="E97:E100" si="30">+I96</f>
        <v>48000000000</v>
      </c>
      <c r="F97" s="24">
        <f t="shared" si="24"/>
        <v>1620000000</v>
      </c>
      <c r="G97" s="24">
        <f t="shared" si="25"/>
        <v>12000000000</v>
      </c>
      <c r="H97" s="24">
        <f t="shared" si="26"/>
        <v>13620000000</v>
      </c>
      <c r="I97" s="24">
        <f t="shared" si="27"/>
        <v>36000000000</v>
      </c>
    </row>
    <row r="98" spans="3:9" x14ac:dyDescent="0.3">
      <c r="D98" s="5">
        <f t="shared" si="28"/>
        <v>12</v>
      </c>
      <c r="E98" s="25">
        <f t="shared" si="30"/>
        <v>36000000000</v>
      </c>
      <c r="F98" s="25">
        <f t="shared" si="24"/>
        <v>1215000000</v>
      </c>
      <c r="G98" s="25">
        <f t="shared" si="25"/>
        <v>12000000000</v>
      </c>
      <c r="H98" s="25">
        <f t="shared" si="26"/>
        <v>13215000000</v>
      </c>
      <c r="I98" s="25">
        <f t="shared" si="27"/>
        <v>24000000000</v>
      </c>
    </row>
    <row r="99" spans="3:9" x14ac:dyDescent="0.3">
      <c r="D99" s="4">
        <f t="shared" si="28"/>
        <v>13</v>
      </c>
      <c r="E99" s="24">
        <f t="shared" si="30"/>
        <v>24000000000</v>
      </c>
      <c r="F99" s="24">
        <f t="shared" si="24"/>
        <v>810000000</v>
      </c>
      <c r="G99" s="24">
        <f t="shared" si="25"/>
        <v>12000000000</v>
      </c>
      <c r="H99" s="24">
        <f t="shared" si="26"/>
        <v>12810000000</v>
      </c>
      <c r="I99" s="24">
        <f t="shared" si="27"/>
        <v>12000000000</v>
      </c>
    </row>
    <row r="100" spans="3:9" x14ac:dyDescent="0.3">
      <c r="D100" s="5">
        <f t="shared" si="28"/>
        <v>14</v>
      </c>
      <c r="E100" s="25">
        <f t="shared" si="30"/>
        <v>12000000000</v>
      </c>
      <c r="F100" s="25">
        <f t="shared" si="24"/>
        <v>405000000</v>
      </c>
      <c r="G100" s="25">
        <f t="shared" si="25"/>
        <v>12000000000</v>
      </c>
      <c r="H100" s="25">
        <f>+F100+G100</f>
        <v>12405000000</v>
      </c>
      <c r="I100" s="25">
        <f t="shared" si="27"/>
        <v>0</v>
      </c>
    </row>
    <row r="101" spans="3:9" hidden="1" x14ac:dyDescent="0.3">
      <c r="D101" s="1"/>
      <c r="E101" s="2"/>
      <c r="F101" s="2"/>
      <c r="G101" s="2"/>
      <c r="H101" s="2"/>
      <c r="I101" s="2"/>
    </row>
    <row r="102" spans="3:9" x14ac:dyDescent="0.3">
      <c r="D102" s="6"/>
      <c r="E102" s="6"/>
      <c r="F102" s="7">
        <f>SUM(F87:F100)</f>
        <v>38475000000.000008</v>
      </c>
      <c r="G102" s="7">
        <f>SUM(G87:G100)</f>
        <v>120000000000</v>
      </c>
      <c r="H102" s="7">
        <f>SUM(H87:H100)</f>
        <v>158475000000</v>
      </c>
      <c r="I102" s="7"/>
    </row>
    <row r="103" spans="3:9" x14ac:dyDescent="0.3">
      <c r="D103" s="26"/>
      <c r="E103" s="26"/>
      <c r="F103" s="27"/>
      <c r="G103" s="27"/>
      <c r="H103" s="27"/>
      <c r="I103" s="27"/>
    </row>
    <row r="105" spans="3:9" x14ac:dyDescent="0.3">
      <c r="C105" s="11">
        <v>5</v>
      </c>
      <c r="D105" s="12" t="s">
        <v>22</v>
      </c>
    </row>
    <row r="106" spans="3:9" x14ac:dyDescent="0.3">
      <c r="D106" s="16"/>
      <c r="E106" s="16"/>
    </row>
    <row r="107" spans="3:9" x14ac:dyDescent="0.3">
      <c r="D107" s="17" t="s">
        <v>2</v>
      </c>
      <c r="E107" s="19">
        <v>40000000000</v>
      </c>
    </row>
    <row r="108" spans="3:9" x14ac:dyDescent="0.3">
      <c r="D108" s="17" t="s">
        <v>3</v>
      </c>
      <c r="E108" s="20">
        <v>6.9500000000000006E-2</v>
      </c>
    </row>
    <row r="109" spans="3:9" x14ac:dyDescent="0.3">
      <c r="D109" s="17" t="s">
        <v>4</v>
      </c>
      <c r="E109" s="23" t="s">
        <v>23</v>
      </c>
    </row>
    <row r="110" spans="3:9" x14ac:dyDescent="0.3">
      <c r="D110" s="17" t="s">
        <v>6</v>
      </c>
      <c r="E110" s="22">
        <v>16</v>
      </c>
    </row>
    <row r="111" spans="3:9" x14ac:dyDescent="0.3">
      <c r="D111" s="18" t="s">
        <v>7</v>
      </c>
      <c r="E111" s="23">
        <v>4</v>
      </c>
    </row>
    <row r="113" spans="4:9" x14ac:dyDescent="0.3">
      <c r="D113" s="35" t="s">
        <v>24</v>
      </c>
      <c r="E113" s="35"/>
      <c r="F113" s="35"/>
      <c r="G113" s="35"/>
      <c r="H113" s="35"/>
      <c r="I113" s="35"/>
    </row>
    <row r="114" spans="4:9" ht="21" x14ac:dyDescent="0.3">
      <c r="D114" s="14" t="s">
        <v>9</v>
      </c>
      <c r="E114" s="14" t="s">
        <v>10</v>
      </c>
      <c r="F114" s="3" t="s">
        <v>11</v>
      </c>
      <c r="G114" s="3" t="s">
        <v>12</v>
      </c>
      <c r="H114" s="3" t="s">
        <v>13</v>
      </c>
      <c r="I114" s="14" t="s">
        <v>14</v>
      </c>
    </row>
    <row r="115" spans="4:9" x14ac:dyDescent="0.3">
      <c r="D115" s="4">
        <v>1</v>
      </c>
      <c r="E115" s="24">
        <f>+E107</f>
        <v>40000000000</v>
      </c>
      <c r="F115" s="24">
        <f>(+E115*$E$108)/2</f>
        <v>1390000000.0000002</v>
      </c>
      <c r="G115" s="24">
        <f>IF(D115&lt;=$E$111,0,$E$115/$E$110)</f>
        <v>0</v>
      </c>
      <c r="H115" s="24">
        <f>+F115+G115</f>
        <v>1390000000.0000002</v>
      </c>
      <c r="I115" s="24">
        <f>E115-G115</f>
        <v>40000000000</v>
      </c>
    </row>
    <row r="116" spans="4:9" x14ac:dyDescent="0.3">
      <c r="D116" s="5">
        <f>D115+1</f>
        <v>2</v>
      </c>
      <c r="E116" s="25">
        <f>+I115</f>
        <v>40000000000</v>
      </c>
      <c r="F116" s="25">
        <f>(+E116*$E$108)/2</f>
        <v>1390000000.0000002</v>
      </c>
      <c r="G116" s="25">
        <f t="shared" ref="G116:G134" si="31">IF(D116&lt;=$E$111,0,$E$115/$E$110)</f>
        <v>0</v>
      </c>
      <c r="H116" s="25">
        <f>+F116+G116</f>
        <v>1390000000.0000002</v>
      </c>
      <c r="I116" s="25">
        <f>E116-G116</f>
        <v>40000000000</v>
      </c>
    </row>
    <row r="117" spans="4:9" x14ac:dyDescent="0.3">
      <c r="D117" s="4">
        <f t="shared" ref="D117:D128" si="32">D116+1</f>
        <v>3</v>
      </c>
      <c r="E117" s="24">
        <f t="shared" ref="E117:E134" si="33">+I116</f>
        <v>40000000000</v>
      </c>
      <c r="F117" s="24">
        <f>(+E117*$E$108)/2</f>
        <v>1390000000.0000002</v>
      </c>
      <c r="G117" s="24">
        <f t="shared" si="31"/>
        <v>0</v>
      </c>
      <c r="H117" s="24">
        <f t="shared" ref="H117:H134" si="34">+F117+G117</f>
        <v>1390000000.0000002</v>
      </c>
      <c r="I117" s="24">
        <f t="shared" ref="I117:I134" si="35">E117-G117</f>
        <v>40000000000</v>
      </c>
    </row>
    <row r="118" spans="4:9" x14ac:dyDescent="0.3">
      <c r="D118" s="5">
        <f t="shared" si="32"/>
        <v>4</v>
      </c>
      <c r="E118" s="25">
        <f t="shared" si="33"/>
        <v>40000000000</v>
      </c>
      <c r="F118" s="25">
        <f>(+E118*$E$108)/2</f>
        <v>1390000000.0000002</v>
      </c>
      <c r="G118" s="25">
        <f t="shared" si="31"/>
        <v>0</v>
      </c>
      <c r="H118" s="25">
        <f t="shared" si="34"/>
        <v>1390000000.0000002</v>
      </c>
      <c r="I118" s="25">
        <f t="shared" si="35"/>
        <v>40000000000</v>
      </c>
    </row>
    <row r="119" spans="4:9" x14ac:dyDescent="0.3">
      <c r="D119" s="4">
        <f t="shared" si="32"/>
        <v>5</v>
      </c>
      <c r="E119" s="24">
        <f t="shared" si="33"/>
        <v>40000000000</v>
      </c>
      <c r="F119" s="24">
        <f t="shared" ref="F119:F134" si="36">(+E119*$E$108)/2</f>
        <v>1390000000.0000002</v>
      </c>
      <c r="G119" s="24">
        <f t="shared" si="31"/>
        <v>2500000000</v>
      </c>
      <c r="H119" s="24">
        <f t="shared" si="34"/>
        <v>3890000000</v>
      </c>
      <c r="I119" s="24">
        <f t="shared" si="35"/>
        <v>37500000000</v>
      </c>
    </row>
    <row r="120" spans="4:9" x14ac:dyDescent="0.3">
      <c r="D120" s="5">
        <f t="shared" si="32"/>
        <v>6</v>
      </c>
      <c r="E120" s="25">
        <f t="shared" si="33"/>
        <v>37500000000</v>
      </c>
      <c r="F120" s="25">
        <f t="shared" si="36"/>
        <v>1303125000</v>
      </c>
      <c r="G120" s="25">
        <f t="shared" si="31"/>
        <v>2500000000</v>
      </c>
      <c r="H120" s="25">
        <f t="shared" si="34"/>
        <v>3803125000</v>
      </c>
      <c r="I120" s="25">
        <f t="shared" si="35"/>
        <v>35000000000</v>
      </c>
    </row>
    <row r="121" spans="4:9" x14ac:dyDescent="0.3">
      <c r="D121" s="4">
        <f t="shared" si="32"/>
        <v>7</v>
      </c>
      <c r="E121" s="24">
        <f t="shared" si="33"/>
        <v>35000000000</v>
      </c>
      <c r="F121" s="24">
        <f t="shared" si="36"/>
        <v>1216250000</v>
      </c>
      <c r="G121" s="24">
        <f t="shared" si="31"/>
        <v>2500000000</v>
      </c>
      <c r="H121" s="24">
        <f t="shared" si="34"/>
        <v>3716250000</v>
      </c>
      <c r="I121" s="24">
        <f t="shared" si="35"/>
        <v>32500000000</v>
      </c>
    </row>
    <row r="122" spans="4:9" x14ac:dyDescent="0.3">
      <c r="D122" s="5">
        <f t="shared" si="32"/>
        <v>8</v>
      </c>
      <c r="E122" s="25">
        <f t="shared" si="33"/>
        <v>32500000000</v>
      </c>
      <c r="F122" s="25">
        <f t="shared" si="36"/>
        <v>1129375000</v>
      </c>
      <c r="G122" s="25">
        <f t="shared" si="31"/>
        <v>2500000000</v>
      </c>
      <c r="H122" s="25">
        <f t="shared" si="34"/>
        <v>3629375000</v>
      </c>
      <c r="I122" s="25">
        <f t="shared" si="35"/>
        <v>30000000000</v>
      </c>
    </row>
    <row r="123" spans="4:9" x14ac:dyDescent="0.3">
      <c r="D123" s="4">
        <f t="shared" si="32"/>
        <v>9</v>
      </c>
      <c r="E123" s="24">
        <f t="shared" si="33"/>
        <v>30000000000</v>
      </c>
      <c r="F123" s="24">
        <f t="shared" si="36"/>
        <v>1042500000.0000001</v>
      </c>
      <c r="G123" s="24">
        <f t="shared" si="31"/>
        <v>2500000000</v>
      </c>
      <c r="H123" s="24">
        <f t="shared" si="34"/>
        <v>3542500000</v>
      </c>
      <c r="I123" s="24">
        <f t="shared" si="35"/>
        <v>27500000000</v>
      </c>
    </row>
    <row r="124" spans="4:9" x14ac:dyDescent="0.3">
      <c r="D124" s="5">
        <f t="shared" si="32"/>
        <v>10</v>
      </c>
      <c r="E124" s="25">
        <f t="shared" si="33"/>
        <v>27500000000</v>
      </c>
      <c r="F124" s="25">
        <f t="shared" si="36"/>
        <v>955625000.00000012</v>
      </c>
      <c r="G124" s="25">
        <f t="shared" si="31"/>
        <v>2500000000</v>
      </c>
      <c r="H124" s="25">
        <f t="shared" si="34"/>
        <v>3455625000</v>
      </c>
      <c r="I124" s="25">
        <f t="shared" si="35"/>
        <v>25000000000</v>
      </c>
    </row>
    <row r="125" spans="4:9" x14ac:dyDescent="0.3">
      <c r="D125" s="4">
        <f t="shared" si="32"/>
        <v>11</v>
      </c>
      <c r="E125" s="24">
        <f t="shared" si="33"/>
        <v>25000000000</v>
      </c>
      <c r="F125" s="24">
        <f t="shared" si="36"/>
        <v>868750000.00000012</v>
      </c>
      <c r="G125" s="24">
        <f t="shared" si="31"/>
        <v>2500000000</v>
      </c>
      <c r="H125" s="24">
        <f t="shared" si="34"/>
        <v>3368750000</v>
      </c>
      <c r="I125" s="24">
        <f t="shared" si="35"/>
        <v>22500000000</v>
      </c>
    </row>
    <row r="126" spans="4:9" x14ac:dyDescent="0.3">
      <c r="D126" s="5">
        <f t="shared" si="32"/>
        <v>12</v>
      </c>
      <c r="E126" s="25">
        <f t="shared" si="33"/>
        <v>22500000000</v>
      </c>
      <c r="F126" s="25">
        <f t="shared" si="36"/>
        <v>781875000.00000012</v>
      </c>
      <c r="G126" s="25">
        <f t="shared" si="31"/>
        <v>2500000000</v>
      </c>
      <c r="H126" s="25">
        <f t="shared" si="34"/>
        <v>3281875000</v>
      </c>
      <c r="I126" s="25">
        <f t="shared" si="35"/>
        <v>20000000000</v>
      </c>
    </row>
    <row r="127" spans="4:9" x14ac:dyDescent="0.3">
      <c r="D127" s="4">
        <f t="shared" si="32"/>
        <v>13</v>
      </c>
      <c r="E127" s="24">
        <f t="shared" si="33"/>
        <v>20000000000</v>
      </c>
      <c r="F127" s="24">
        <f t="shared" si="36"/>
        <v>695000000.00000012</v>
      </c>
      <c r="G127" s="24">
        <f t="shared" si="31"/>
        <v>2500000000</v>
      </c>
      <c r="H127" s="24">
        <f t="shared" si="34"/>
        <v>3195000000</v>
      </c>
      <c r="I127" s="24">
        <f t="shared" si="35"/>
        <v>17500000000</v>
      </c>
    </row>
    <row r="128" spans="4:9" x14ac:dyDescent="0.3">
      <c r="D128" s="5">
        <f t="shared" si="32"/>
        <v>14</v>
      </c>
      <c r="E128" s="25">
        <f t="shared" si="33"/>
        <v>17500000000</v>
      </c>
      <c r="F128" s="25">
        <f t="shared" si="36"/>
        <v>608125000</v>
      </c>
      <c r="G128" s="25">
        <f t="shared" si="31"/>
        <v>2500000000</v>
      </c>
      <c r="H128" s="25">
        <f t="shared" si="34"/>
        <v>3108125000</v>
      </c>
      <c r="I128" s="25">
        <f t="shared" si="35"/>
        <v>15000000000</v>
      </c>
    </row>
    <row r="129" spans="4:9" x14ac:dyDescent="0.3">
      <c r="D129" s="4">
        <f t="shared" ref="D129:D134" si="37">D128+1</f>
        <v>15</v>
      </c>
      <c r="E129" s="24">
        <f t="shared" si="33"/>
        <v>15000000000</v>
      </c>
      <c r="F129" s="24">
        <f t="shared" si="36"/>
        <v>521250000.00000006</v>
      </c>
      <c r="G129" s="24">
        <f>IF(D129&lt;=$E$111,0,$E$115/$E$110)</f>
        <v>2500000000</v>
      </c>
      <c r="H129" s="24">
        <f t="shared" si="34"/>
        <v>3021250000</v>
      </c>
      <c r="I129" s="24">
        <f t="shared" si="35"/>
        <v>12500000000</v>
      </c>
    </row>
    <row r="130" spans="4:9" x14ac:dyDescent="0.3">
      <c r="D130" s="5">
        <f t="shared" si="37"/>
        <v>16</v>
      </c>
      <c r="E130" s="25">
        <f t="shared" si="33"/>
        <v>12500000000</v>
      </c>
      <c r="F130" s="25">
        <f t="shared" si="36"/>
        <v>434375000.00000006</v>
      </c>
      <c r="G130" s="25">
        <f t="shared" si="31"/>
        <v>2500000000</v>
      </c>
      <c r="H130" s="25">
        <f t="shared" si="34"/>
        <v>2934375000</v>
      </c>
      <c r="I130" s="25">
        <f t="shared" si="35"/>
        <v>10000000000</v>
      </c>
    </row>
    <row r="131" spans="4:9" x14ac:dyDescent="0.3">
      <c r="D131" s="4">
        <f t="shared" si="37"/>
        <v>17</v>
      </c>
      <c r="E131" s="24">
        <f t="shared" si="33"/>
        <v>10000000000</v>
      </c>
      <c r="F131" s="24">
        <f t="shared" si="36"/>
        <v>347500000.00000006</v>
      </c>
      <c r="G131" s="24">
        <f t="shared" si="31"/>
        <v>2500000000</v>
      </c>
      <c r="H131" s="24">
        <f t="shared" si="34"/>
        <v>2847500000</v>
      </c>
      <c r="I131" s="24">
        <f t="shared" si="35"/>
        <v>7500000000</v>
      </c>
    </row>
    <row r="132" spans="4:9" x14ac:dyDescent="0.3">
      <c r="D132" s="5">
        <f t="shared" si="37"/>
        <v>18</v>
      </c>
      <c r="E132" s="25">
        <f t="shared" si="33"/>
        <v>7500000000</v>
      </c>
      <c r="F132" s="25">
        <f t="shared" si="36"/>
        <v>260625000.00000003</v>
      </c>
      <c r="G132" s="25">
        <f t="shared" si="31"/>
        <v>2500000000</v>
      </c>
      <c r="H132" s="25">
        <f t="shared" si="34"/>
        <v>2760625000</v>
      </c>
      <c r="I132" s="25">
        <f t="shared" si="35"/>
        <v>5000000000</v>
      </c>
    </row>
    <row r="133" spans="4:9" x14ac:dyDescent="0.3">
      <c r="D133" s="4">
        <f t="shared" si="37"/>
        <v>19</v>
      </c>
      <c r="E133" s="24">
        <f t="shared" si="33"/>
        <v>5000000000</v>
      </c>
      <c r="F133" s="24">
        <f t="shared" si="36"/>
        <v>173750000.00000003</v>
      </c>
      <c r="G133" s="24">
        <f t="shared" si="31"/>
        <v>2500000000</v>
      </c>
      <c r="H133" s="24">
        <f t="shared" si="34"/>
        <v>2673750000</v>
      </c>
      <c r="I133" s="24">
        <f t="shared" si="35"/>
        <v>2500000000</v>
      </c>
    </row>
    <row r="134" spans="4:9" x14ac:dyDescent="0.3">
      <c r="D134" s="5">
        <f t="shared" si="37"/>
        <v>20</v>
      </c>
      <c r="E134" s="25">
        <f t="shared" si="33"/>
        <v>2500000000</v>
      </c>
      <c r="F134" s="25">
        <f t="shared" si="36"/>
        <v>86875000.000000015</v>
      </c>
      <c r="G134" s="25">
        <f t="shared" si="31"/>
        <v>2500000000</v>
      </c>
      <c r="H134" s="25">
        <f t="shared" si="34"/>
        <v>2586875000</v>
      </c>
      <c r="I134" s="25">
        <f t="shared" si="35"/>
        <v>0</v>
      </c>
    </row>
    <row r="135" spans="4:9" hidden="1" x14ac:dyDescent="0.3">
      <c r="D135" s="1"/>
      <c r="E135" s="2"/>
      <c r="F135" s="2"/>
      <c r="G135" s="2"/>
      <c r="H135" s="2"/>
      <c r="I135" s="2"/>
    </row>
    <row r="136" spans="4:9" x14ac:dyDescent="0.3">
      <c r="D136" s="6"/>
      <c r="E136" s="6"/>
      <c r="F136" s="7">
        <f>SUM(F115:F134)</f>
        <v>17375000000</v>
      </c>
      <c r="G136" s="7">
        <f>SUM(G115:G134)</f>
        <v>40000000000</v>
      </c>
      <c r="H136" s="7">
        <f>SUM(H115:H134)</f>
        <v>57375000000</v>
      </c>
      <c r="I136" s="7"/>
    </row>
  </sheetData>
  <mergeCells count="5">
    <mergeCell ref="D12:I12"/>
    <mergeCell ref="D35:I35"/>
    <mergeCell ref="D113:I113"/>
    <mergeCell ref="D62:I62"/>
    <mergeCell ref="D85:I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4CAF-0567-44FB-A4D4-F0DF18BEF803}">
  <dimension ref="A1:I105"/>
  <sheetViews>
    <sheetView showGridLines="0" tabSelected="1" topLeftCell="A86" zoomScale="110" zoomScaleNormal="110" workbookViewId="0">
      <selection activeCell="F37" sqref="F37"/>
    </sheetView>
  </sheetViews>
  <sheetFormatPr baseColWidth="10" defaultColWidth="11" defaultRowHeight="14" x14ac:dyDescent="0.3"/>
  <cols>
    <col min="1" max="1" width="2.75" customWidth="1"/>
    <col min="3" max="3" width="4.75" customWidth="1"/>
    <col min="4" max="9" width="13.58203125" customWidth="1"/>
  </cols>
  <sheetData>
    <row r="1" spans="1:9" ht="20.5" thickBot="1" x14ac:dyDescent="0.45">
      <c r="A1" s="13" t="s">
        <v>33</v>
      </c>
      <c r="B1" s="8"/>
      <c r="C1" s="8"/>
      <c r="D1" s="8"/>
      <c r="E1" s="8"/>
      <c r="F1" s="8"/>
      <c r="G1" s="8"/>
      <c r="H1" s="8"/>
      <c r="I1" s="8"/>
    </row>
    <row r="2" spans="1:9" ht="20" x14ac:dyDescent="0.4">
      <c r="A2" s="33"/>
    </row>
    <row r="3" spans="1:9" ht="20" x14ac:dyDescent="0.4">
      <c r="A3" s="9"/>
      <c r="C3" s="34"/>
      <c r="D3" t="s">
        <v>32</v>
      </c>
    </row>
    <row r="4" spans="1:9" ht="20" x14ac:dyDescent="0.4">
      <c r="A4" s="9"/>
    </row>
    <row r="5" spans="1:9" x14ac:dyDescent="0.3">
      <c r="C5" s="11">
        <v>1</v>
      </c>
      <c r="D5" s="12" t="s">
        <v>25</v>
      </c>
    </row>
    <row r="6" spans="1:9" x14ac:dyDescent="0.3">
      <c r="C6" s="10"/>
      <c r="D6" s="16"/>
      <c r="E6" s="16"/>
    </row>
    <row r="7" spans="1:9" x14ac:dyDescent="0.3">
      <c r="C7" s="15"/>
      <c r="D7" s="17" t="s">
        <v>2</v>
      </c>
      <c r="E7" s="32">
        <v>10000000</v>
      </c>
      <c r="H7" s="28"/>
    </row>
    <row r="8" spans="1:9" x14ac:dyDescent="0.3">
      <c r="C8" s="15"/>
      <c r="D8" s="17" t="s">
        <v>3</v>
      </c>
      <c r="E8" s="20">
        <v>6.4000000000000001E-2</v>
      </c>
      <c r="F8" s="29"/>
    </row>
    <row r="9" spans="1:9" x14ac:dyDescent="0.3">
      <c r="C9" s="15"/>
      <c r="D9" s="17" t="s">
        <v>4</v>
      </c>
      <c r="E9" s="23" t="s">
        <v>26</v>
      </c>
    </row>
    <row r="10" spans="1:9" x14ac:dyDescent="0.3">
      <c r="C10" s="15"/>
      <c r="D10" s="17" t="s">
        <v>6</v>
      </c>
      <c r="E10" s="22">
        <v>1</v>
      </c>
    </row>
    <row r="11" spans="1:9" x14ac:dyDescent="0.3">
      <c r="C11" s="15"/>
      <c r="D11" s="18" t="s">
        <v>7</v>
      </c>
      <c r="E11" s="23">
        <v>5</v>
      </c>
    </row>
    <row r="13" spans="1:9" x14ac:dyDescent="0.3">
      <c r="D13" s="35" t="s">
        <v>27</v>
      </c>
      <c r="E13" s="35"/>
      <c r="F13" s="35"/>
      <c r="G13" s="35"/>
      <c r="H13" s="35"/>
      <c r="I13" s="35"/>
    </row>
    <row r="14" spans="1:9" ht="21" x14ac:dyDescent="0.3">
      <c r="D14" s="14" t="s">
        <v>9</v>
      </c>
      <c r="E14" s="14" t="s">
        <v>10</v>
      </c>
      <c r="F14" s="3" t="s">
        <v>11</v>
      </c>
      <c r="G14" s="3" t="s">
        <v>12</v>
      </c>
      <c r="H14" s="3" t="s">
        <v>13</v>
      </c>
      <c r="I14" s="14" t="s">
        <v>14</v>
      </c>
    </row>
    <row r="15" spans="1:9" x14ac:dyDescent="0.3">
      <c r="D15" s="4">
        <v>1</v>
      </c>
      <c r="E15" s="24">
        <f>+E7</f>
        <v>10000000</v>
      </c>
      <c r="F15" s="24">
        <f>(+E15*$E$8)/2</f>
        <v>320000</v>
      </c>
      <c r="G15" s="24">
        <f>IF($D15&lt;=$E$11,0,$E$7/$E$10)</f>
        <v>0</v>
      </c>
      <c r="H15" s="24">
        <f>+F15+G15</f>
        <v>320000</v>
      </c>
      <c r="I15" s="24">
        <f>E15-G15</f>
        <v>10000000</v>
      </c>
    </row>
    <row r="16" spans="1:9" x14ac:dyDescent="0.3">
      <c r="D16" s="5">
        <v>2</v>
      </c>
      <c r="E16" s="25">
        <f>+I15</f>
        <v>10000000</v>
      </c>
      <c r="F16" s="25">
        <f t="shared" ref="F16:F20" si="0">(+E16*$E$8)/2</f>
        <v>320000</v>
      </c>
      <c r="G16" s="25">
        <f t="shared" ref="G16:G20" si="1">IF($D16&lt;=$E$11,0,$E$7/$E$10)</f>
        <v>0</v>
      </c>
      <c r="H16" s="25">
        <f t="shared" ref="H16:H20" si="2">+F16+G16</f>
        <v>320000</v>
      </c>
      <c r="I16" s="25">
        <f t="shared" ref="I16:I20" si="3">E16-G16</f>
        <v>10000000</v>
      </c>
    </row>
    <row r="17" spans="1:9" x14ac:dyDescent="0.3">
      <c r="D17" s="4">
        <v>3</v>
      </c>
      <c r="E17" s="24">
        <f t="shared" ref="E17:E20" si="4">+I16</f>
        <v>10000000</v>
      </c>
      <c r="F17" s="24">
        <f t="shared" si="0"/>
        <v>320000</v>
      </c>
      <c r="G17" s="24">
        <f t="shared" si="1"/>
        <v>0</v>
      </c>
      <c r="H17" s="24">
        <f t="shared" si="2"/>
        <v>320000</v>
      </c>
      <c r="I17" s="24">
        <f t="shared" si="3"/>
        <v>10000000</v>
      </c>
    </row>
    <row r="18" spans="1:9" x14ac:dyDescent="0.3">
      <c r="D18" s="5">
        <v>4</v>
      </c>
      <c r="E18" s="25">
        <f t="shared" si="4"/>
        <v>10000000</v>
      </c>
      <c r="F18" s="25">
        <f t="shared" si="0"/>
        <v>320000</v>
      </c>
      <c r="G18" s="25">
        <f t="shared" si="1"/>
        <v>0</v>
      </c>
      <c r="H18" s="25">
        <f t="shared" si="2"/>
        <v>320000</v>
      </c>
      <c r="I18" s="25">
        <f t="shared" si="3"/>
        <v>10000000</v>
      </c>
    </row>
    <row r="19" spans="1:9" x14ac:dyDescent="0.3">
      <c r="D19" s="4">
        <v>5</v>
      </c>
      <c r="E19" s="24">
        <f t="shared" si="4"/>
        <v>10000000</v>
      </c>
      <c r="F19" s="24">
        <f t="shared" si="0"/>
        <v>320000</v>
      </c>
      <c r="G19" s="24">
        <f t="shared" si="1"/>
        <v>0</v>
      </c>
      <c r="H19" s="24">
        <f t="shared" si="2"/>
        <v>320000</v>
      </c>
      <c r="I19" s="24">
        <f t="shared" si="3"/>
        <v>10000000</v>
      </c>
    </row>
    <row r="20" spans="1:9" x14ac:dyDescent="0.3">
      <c r="D20" s="5">
        <v>6</v>
      </c>
      <c r="E20" s="25">
        <f t="shared" si="4"/>
        <v>10000000</v>
      </c>
      <c r="F20" s="25">
        <f t="shared" si="0"/>
        <v>320000</v>
      </c>
      <c r="G20" s="25">
        <f t="shared" si="1"/>
        <v>10000000</v>
      </c>
      <c r="H20" s="25">
        <f t="shared" si="2"/>
        <v>10320000</v>
      </c>
      <c r="I20" s="25">
        <f t="shared" si="3"/>
        <v>0</v>
      </c>
    </row>
    <row r="21" spans="1:9" hidden="1" x14ac:dyDescent="0.3">
      <c r="D21" s="1"/>
      <c r="E21" s="2"/>
      <c r="F21" s="2"/>
      <c r="G21" s="2"/>
      <c r="H21" s="2"/>
      <c r="I21" s="2"/>
    </row>
    <row r="22" spans="1:9" x14ac:dyDescent="0.3">
      <c r="D22" s="6"/>
      <c r="E22" s="6"/>
      <c r="F22" s="7">
        <f>SUM(F15:F20)</f>
        <v>1920000</v>
      </c>
      <c r="G22" s="7">
        <f>SUM(G15:G20)</f>
        <v>10000000</v>
      </c>
      <c r="H22" s="7">
        <f>SUM(H15:H20)</f>
        <v>11920000</v>
      </c>
      <c r="I22" s="7"/>
    </row>
    <row r="23" spans="1:9" ht="20" x14ac:dyDescent="0.4">
      <c r="A23" s="9"/>
    </row>
    <row r="24" spans="1:9" x14ac:dyDescent="0.3">
      <c r="C24" s="11">
        <v>2</v>
      </c>
      <c r="D24" s="12" t="s">
        <v>18</v>
      </c>
    </row>
    <row r="25" spans="1:9" x14ac:dyDescent="0.3">
      <c r="C25" s="10"/>
      <c r="D25" s="16"/>
      <c r="E25" s="16"/>
    </row>
    <row r="26" spans="1:9" x14ac:dyDescent="0.3">
      <c r="C26" s="15"/>
      <c r="D26" s="17" t="s">
        <v>2</v>
      </c>
      <c r="E26" s="32">
        <v>10000000</v>
      </c>
      <c r="F26" s="31"/>
      <c r="H26" s="30"/>
    </row>
    <row r="27" spans="1:9" x14ac:dyDescent="0.3">
      <c r="C27" s="15"/>
      <c r="D27" s="17" t="s">
        <v>3</v>
      </c>
      <c r="E27" s="20">
        <v>6.6000000000000003E-2</v>
      </c>
    </row>
    <row r="28" spans="1:9" x14ac:dyDescent="0.3">
      <c r="C28" s="15"/>
      <c r="D28" s="17" t="s">
        <v>4</v>
      </c>
      <c r="E28" s="21" t="s">
        <v>5</v>
      </c>
    </row>
    <row r="29" spans="1:9" x14ac:dyDescent="0.3">
      <c r="C29" s="15"/>
      <c r="D29" s="17" t="s">
        <v>6</v>
      </c>
      <c r="E29" s="22">
        <v>8</v>
      </c>
    </row>
    <row r="30" spans="1:9" x14ac:dyDescent="0.3">
      <c r="C30" s="15"/>
      <c r="D30" s="18" t="s">
        <v>7</v>
      </c>
      <c r="E30" s="23">
        <v>2</v>
      </c>
    </row>
    <row r="32" spans="1:9" x14ac:dyDescent="0.3">
      <c r="D32" s="35" t="s">
        <v>28</v>
      </c>
      <c r="E32" s="35"/>
      <c r="F32" s="35"/>
      <c r="G32" s="35"/>
      <c r="H32" s="35"/>
      <c r="I32" s="35"/>
    </row>
    <row r="33" spans="3:9" ht="21" x14ac:dyDescent="0.3">
      <c r="D33" s="14" t="s">
        <v>9</v>
      </c>
      <c r="E33" s="14" t="s">
        <v>10</v>
      </c>
      <c r="F33" s="3" t="s">
        <v>11</v>
      </c>
      <c r="G33" s="3" t="s">
        <v>12</v>
      </c>
      <c r="H33" s="3" t="s">
        <v>13</v>
      </c>
      <c r="I33" s="14" t="s">
        <v>14</v>
      </c>
    </row>
    <row r="34" spans="3:9" x14ac:dyDescent="0.3">
      <c r="D34" s="4">
        <v>1</v>
      </c>
      <c r="E34" s="24">
        <f>+E26</f>
        <v>10000000</v>
      </c>
      <c r="F34" s="24">
        <f>(+E34*$E$27)/2</f>
        <v>330000</v>
      </c>
      <c r="G34" s="24">
        <f>IF($D34&lt;=$E$30,0,$E$26/$E$29)</f>
        <v>0</v>
      </c>
      <c r="H34" s="24">
        <f>+F34+G34</f>
        <v>330000</v>
      </c>
      <c r="I34" s="24">
        <f>E34-G34</f>
        <v>10000000</v>
      </c>
    </row>
    <row r="35" spans="3:9" x14ac:dyDescent="0.3">
      <c r="D35" s="5">
        <v>2</v>
      </c>
      <c r="E35" s="25">
        <f>+I34</f>
        <v>10000000</v>
      </c>
      <c r="F35" s="25">
        <f>(+E35*$E$27)/2</f>
        <v>330000</v>
      </c>
      <c r="G35" s="25">
        <f t="shared" ref="G35:G43" si="5">IF($D35&lt;=$E$30,0,$E$26/$E$29)</f>
        <v>0</v>
      </c>
      <c r="H35" s="25">
        <f t="shared" ref="H35:H43" si="6">+F35+G35</f>
        <v>330000</v>
      </c>
      <c r="I35" s="25">
        <f t="shared" ref="I35:I43" si="7">E35-G35</f>
        <v>10000000</v>
      </c>
    </row>
    <row r="36" spans="3:9" x14ac:dyDescent="0.3">
      <c r="D36" s="4">
        <v>3</v>
      </c>
      <c r="E36" s="24">
        <f t="shared" ref="E36:E42" si="8">+I35</f>
        <v>10000000</v>
      </c>
      <c r="F36" s="24">
        <f>(+E36*$E$27)/2</f>
        <v>330000</v>
      </c>
      <c r="G36" s="24">
        <f t="shared" si="5"/>
        <v>1250000</v>
      </c>
      <c r="H36" s="24">
        <f t="shared" si="6"/>
        <v>1580000</v>
      </c>
      <c r="I36" s="24">
        <f t="shared" si="7"/>
        <v>8750000</v>
      </c>
    </row>
    <row r="37" spans="3:9" x14ac:dyDescent="0.3">
      <c r="D37" s="5">
        <v>4</v>
      </c>
      <c r="E37" s="25">
        <f t="shared" si="8"/>
        <v>8750000</v>
      </c>
      <c r="F37" s="25">
        <f>(+E37*$E$27)/2</f>
        <v>288750</v>
      </c>
      <c r="G37" s="25">
        <f>IF($D37&lt;=$E$30,0,$E$26/$E$29)</f>
        <v>1250000</v>
      </c>
      <c r="H37" s="25">
        <f t="shared" si="6"/>
        <v>1538750</v>
      </c>
      <c r="I37" s="25">
        <f t="shared" si="7"/>
        <v>7500000</v>
      </c>
    </row>
    <row r="38" spans="3:9" x14ac:dyDescent="0.3">
      <c r="D38" s="4">
        <v>5</v>
      </c>
      <c r="E38" s="24">
        <f t="shared" si="8"/>
        <v>7500000</v>
      </c>
      <c r="F38" s="24">
        <f>(+E38*$E$27)/2</f>
        <v>247500</v>
      </c>
      <c r="G38" s="24">
        <f t="shared" si="5"/>
        <v>1250000</v>
      </c>
      <c r="H38" s="24">
        <f t="shared" si="6"/>
        <v>1497500</v>
      </c>
      <c r="I38" s="24">
        <f t="shared" si="7"/>
        <v>6250000</v>
      </c>
    </row>
    <row r="39" spans="3:9" x14ac:dyDescent="0.3">
      <c r="D39" s="5">
        <v>6</v>
      </c>
      <c r="E39" s="25">
        <f t="shared" si="8"/>
        <v>6250000</v>
      </c>
      <c r="F39" s="25">
        <f t="shared" ref="F39:F42" si="9">(+E39*$E$27)/2</f>
        <v>206250</v>
      </c>
      <c r="G39" s="25">
        <f t="shared" si="5"/>
        <v>1250000</v>
      </c>
      <c r="H39" s="25">
        <f t="shared" si="6"/>
        <v>1456250</v>
      </c>
      <c r="I39" s="25">
        <f t="shared" si="7"/>
        <v>5000000</v>
      </c>
    </row>
    <row r="40" spans="3:9" x14ac:dyDescent="0.3">
      <c r="D40" s="4">
        <v>7</v>
      </c>
      <c r="E40" s="24">
        <f t="shared" si="8"/>
        <v>5000000</v>
      </c>
      <c r="F40" s="24">
        <f t="shared" si="9"/>
        <v>165000</v>
      </c>
      <c r="G40" s="24">
        <f t="shared" si="5"/>
        <v>1250000</v>
      </c>
      <c r="H40" s="24">
        <f t="shared" si="6"/>
        <v>1415000</v>
      </c>
      <c r="I40" s="24">
        <f t="shared" si="7"/>
        <v>3750000</v>
      </c>
    </row>
    <row r="41" spans="3:9" x14ac:dyDescent="0.3">
      <c r="D41" s="5">
        <v>8</v>
      </c>
      <c r="E41" s="25">
        <f t="shared" si="8"/>
        <v>3750000</v>
      </c>
      <c r="F41" s="25">
        <f t="shared" si="9"/>
        <v>123750</v>
      </c>
      <c r="G41" s="25">
        <f t="shared" si="5"/>
        <v>1250000</v>
      </c>
      <c r="H41" s="25">
        <f t="shared" si="6"/>
        <v>1373750</v>
      </c>
      <c r="I41" s="25">
        <f t="shared" si="7"/>
        <v>2500000</v>
      </c>
    </row>
    <row r="42" spans="3:9" x14ac:dyDescent="0.3">
      <c r="D42" s="4">
        <v>9</v>
      </c>
      <c r="E42" s="24">
        <f t="shared" si="8"/>
        <v>2500000</v>
      </c>
      <c r="F42" s="24">
        <f t="shared" si="9"/>
        <v>82500</v>
      </c>
      <c r="G42" s="24">
        <f t="shared" si="5"/>
        <v>1250000</v>
      </c>
      <c r="H42" s="24">
        <f t="shared" si="6"/>
        <v>1332500</v>
      </c>
      <c r="I42" s="24">
        <f t="shared" si="7"/>
        <v>1250000</v>
      </c>
    </row>
    <row r="43" spans="3:9" x14ac:dyDescent="0.3">
      <c r="D43" s="5">
        <v>10</v>
      </c>
      <c r="E43" s="25">
        <f>+I42</f>
        <v>1250000</v>
      </c>
      <c r="F43" s="25">
        <f>(+E43*$E$27)/2</f>
        <v>41250</v>
      </c>
      <c r="G43" s="25">
        <f t="shared" si="5"/>
        <v>1250000</v>
      </c>
      <c r="H43" s="25">
        <f t="shared" si="6"/>
        <v>1291250</v>
      </c>
      <c r="I43" s="25">
        <f t="shared" si="7"/>
        <v>0</v>
      </c>
    </row>
    <row r="44" spans="3:9" hidden="1" x14ac:dyDescent="0.3">
      <c r="D44" s="1"/>
      <c r="E44" s="2"/>
      <c r="F44" s="2"/>
      <c r="G44" s="2"/>
      <c r="H44" s="2"/>
      <c r="I44" s="2"/>
    </row>
    <row r="45" spans="3:9" x14ac:dyDescent="0.3">
      <c r="D45" s="6"/>
      <c r="E45" s="6"/>
      <c r="F45" s="7">
        <f>SUM(F34:F43)</f>
        <v>2145000</v>
      </c>
      <c r="G45" s="7">
        <f>SUM(G34:G43)</f>
        <v>10000000</v>
      </c>
      <c r="H45" s="7">
        <f>SUM(H34:H43)</f>
        <v>12145000</v>
      </c>
      <c r="I45" s="7"/>
    </row>
    <row r="47" spans="3:9" x14ac:dyDescent="0.3">
      <c r="C47" s="11">
        <v>3</v>
      </c>
      <c r="D47" s="12" t="s">
        <v>22</v>
      </c>
    </row>
    <row r="48" spans="3:9" x14ac:dyDescent="0.3">
      <c r="D48" s="16"/>
      <c r="E48" s="16"/>
    </row>
    <row r="49" spans="4:9" x14ac:dyDescent="0.3">
      <c r="D49" s="17" t="s">
        <v>2</v>
      </c>
      <c r="E49" s="32">
        <v>10000000</v>
      </c>
      <c r="H49" s="30"/>
    </row>
    <row r="50" spans="4:9" x14ac:dyDescent="0.3">
      <c r="D50" s="17" t="s">
        <v>3</v>
      </c>
      <c r="E50" s="20">
        <v>6.7500000000000004E-2</v>
      </c>
    </row>
    <row r="51" spans="4:9" x14ac:dyDescent="0.3">
      <c r="D51" s="17" t="s">
        <v>4</v>
      </c>
      <c r="E51" s="23" t="s">
        <v>16</v>
      </c>
    </row>
    <row r="52" spans="4:9" x14ac:dyDescent="0.3">
      <c r="D52" s="17" t="s">
        <v>6</v>
      </c>
      <c r="E52" s="22">
        <v>10</v>
      </c>
    </row>
    <row r="53" spans="4:9" x14ac:dyDescent="0.3">
      <c r="D53" s="18" t="s">
        <v>7</v>
      </c>
      <c r="E53" s="23">
        <v>4</v>
      </c>
    </row>
    <row r="55" spans="4:9" x14ac:dyDescent="0.3">
      <c r="D55" s="35" t="s">
        <v>29</v>
      </c>
      <c r="E55" s="35"/>
      <c r="F55" s="35"/>
      <c r="G55" s="35"/>
      <c r="H55" s="35"/>
      <c r="I55" s="35"/>
    </row>
    <row r="56" spans="4:9" ht="21" x14ac:dyDescent="0.3">
      <c r="D56" s="14" t="s">
        <v>9</v>
      </c>
      <c r="E56" s="14" t="s">
        <v>10</v>
      </c>
      <c r="F56" s="3" t="s">
        <v>11</v>
      </c>
      <c r="G56" s="3" t="s">
        <v>12</v>
      </c>
      <c r="H56" s="3" t="s">
        <v>13</v>
      </c>
      <c r="I56" s="14" t="s">
        <v>14</v>
      </c>
    </row>
    <row r="57" spans="4:9" x14ac:dyDescent="0.3">
      <c r="D57" s="4">
        <v>1</v>
      </c>
      <c r="E57" s="24">
        <f>+E49</f>
        <v>10000000</v>
      </c>
      <c r="F57" s="24">
        <f>(+E57*$E$50)/2</f>
        <v>337500</v>
      </c>
      <c r="G57" s="24">
        <f>IF(D57&lt;=$E$53,0,$E$57/$E$52)</f>
        <v>0</v>
      </c>
      <c r="H57" s="24">
        <f>+F57+G57</f>
        <v>337500</v>
      </c>
      <c r="I57" s="24">
        <f>E57-G57</f>
        <v>10000000</v>
      </c>
    </row>
    <row r="58" spans="4:9" x14ac:dyDescent="0.3">
      <c r="D58" s="5">
        <f>D57+1</f>
        <v>2</v>
      </c>
      <c r="E58" s="25">
        <f>+I57</f>
        <v>10000000</v>
      </c>
      <c r="F58" s="25">
        <f>(+E58*$E$50)/2</f>
        <v>337500</v>
      </c>
      <c r="G58" s="25">
        <f t="shared" ref="G58:G69" si="10">IF(D58&lt;=$E$53,0,$E$57/$E$52)</f>
        <v>0</v>
      </c>
      <c r="H58" s="25">
        <f t="shared" ref="H58:H69" si="11">+F58+G58</f>
        <v>337500</v>
      </c>
      <c r="I58" s="25">
        <f t="shared" ref="I58:I70" si="12">E58-G58</f>
        <v>10000000</v>
      </c>
    </row>
    <row r="59" spans="4:9" x14ac:dyDescent="0.3">
      <c r="D59" s="4">
        <f t="shared" ref="D59:D70" si="13">D58+1</f>
        <v>3</v>
      </c>
      <c r="E59" s="24">
        <f t="shared" ref="E59:E65" si="14">+I58</f>
        <v>10000000</v>
      </c>
      <c r="F59" s="24">
        <f t="shared" ref="F59:F69" si="15">(+E59*$E$50)/2</f>
        <v>337500</v>
      </c>
      <c r="G59" s="24">
        <f t="shared" si="10"/>
        <v>0</v>
      </c>
      <c r="H59" s="24">
        <f t="shared" si="11"/>
        <v>337500</v>
      </c>
      <c r="I59" s="24">
        <f t="shared" si="12"/>
        <v>10000000</v>
      </c>
    </row>
    <row r="60" spans="4:9" x14ac:dyDescent="0.3">
      <c r="D60" s="5">
        <f t="shared" si="13"/>
        <v>4</v>
      </c>
      <c r="E60" s="25">
        <f t="shared" si="14"/>
        <v>10000000</v>
      </c>
      <c r="F60" s="25">
        <f t="shared" si="15"/>
        <v>337500</v>
      </c>
      <c r="G60" s="25">
        <f t="shared" si="10"/>
        <v>0</v>
      </c>
      <c r="H60" s="25">
        <f t="shared" si="11"/>
        <v>337500</v>
      </c>
      <c r="I60" s="25">
        <f t="shared" si="12"/>
        <v>10000000</v>
      </c>
    </row>
    <row r="61" spans="4:9" x14ac:dyDescent="0.3">
      <c r="D61" s="4">
        <f t="shared" si="13"/>
        <v>5</v>
      </c>
      <c r="E61" s="24">
        <f t="shared" si="14"/>
        <v>10000000</v>
      </c>
      <c r="F61" s="24">
        <f t="shared" si="15"/>
        <v>337500</v>
      </c>
      <c r="G61" s="24">
        <f t="shared" si="10"/>
        <v>1000000</v>
      </c>
      <c r="H61" s="24">
        <f t="shared" si="11"/>
        <v>1337500</v>
      </c>
      <c r="I61" s="24">
        <f t="shared" si="12"/>
        <v>9000000</v>
      </c>
    </row>
    <row r="62" spans="4:9" x14ac:dyDescent="0.3">
      <c r="D62" s="5">
        <f t="shared" si="13"/>
        <v>6</v>
      </c>
      <c r="E62" s="25">
        <f t="shared" si="14"/>
        <v>9000000</v>
      </c>
      <c r="F62" s="25">
        <f>(+E62*$E$50)/2</f>
        <v>303750</v>
      </c>
      <c r="G62" s="25">
        <f t="shared" si="10"/>
        <v>1000000</v>
      </c>
      <c r="H62" s="25">
        <f t="shared" si="11"/>
        <v>1303750</v>
      </c>
      <c r="I62" s="25">
        <f t="shared" si="12"/>
        <v>8000000</v>
      </c>
    </row>
    <row r="63" spans="4:9" x14ac:dyDescent="0.3">
      <c r="D63" s="4">
        <f t="shared" si="13"/>
        <v>7</v>
      </c>
      <c r="E63" s="24">
        <f t="shared" si="14"/>
        <v>8000000</v>
      </c>
      <c r="F63" s="24">
        <f t="shared" si="15"/>
        <v>270000</v>
      </c>
      <c r="G63" s="24">
        <f t="shared" si="10"/>
        <v>1000000</v>
      </c>
      <c r="H63" s="24">
        <f t="shared" si="11"/>
        <v>1270000</v>
      </c>
      <c r="I63" s="24">
        <f t="shared" si="12"/>
        <v>7000000</v>
      </c>
    </row>
    <row r="64" spans="4:9" x14ac:dyDescent="0.3">
      <c r="D64" s="5">
        <f t="shared" si="13"/>
        <v>8</v>
      </c>
      <c r="E64" s="25">
        <f t="shared" si="14"/>
        <v>7000000</v>
      </c>
      <c r="F64" s="25">
        <f t="shared" si="15"/>
        <v>236250.00000000003</v>
      </c>
      <c r="G64" s="25">
        <f t="shared" si="10"/>
        <v>1000000</v>
      </c>
      <c r="H64" s="25">
        <f t="shared" si="11"/>
        <v>1236250</v>
      </c>
      <c r="I64" s="25">
        <f t="shared" si="12"/>
        <v>6000000</v>
      </c>
    </row>
    <row r="65" spans="3:9" x14ac:dyDescent="0.3">
      <c r="D65" s="4">
        <f t="shared" si="13"/>
        <v>9</v>
      </c>
      <c r="E65" s="24">
        <f t="shared" si="14"/>
        <v>6000000</v>
      </c>
      <c r="F65" s="24">
        <f t="shared" si="15"/>
        <v>202500</v>
      </c>
      <c r="G65" s="24">
        <f t="shared" si="10"/>
        <v>1000000</v>
      </c>
      <c r="H65" s="24">
        <f t="shared" si="11"/>
        <v>1202500</v>
      </c>
      <c r="I65" s="24">
        <f t="shared" si="12"/>
        <v>5000000</v>
      </c>
    </row>
    <row r="66" spans="3:9" x14ac:dyDescent="0.3">
      <c r="D66" s="5">
        <f t="shared" si="13"/>
        <v>10</v>
      </c>
      <c r="E66" s="25">
        <f>+I65</f>
        <v>5000000</v>
      </c>
      <c r="F66" s="25">
        <f t="shared" si="15"/>
        <v>168750</v>
      </c>
      <c r="G66" s="25">
        <f t="shared" si="10"/>
        <v>1000000</v>
      </c>
      <c r="H66" s="25">
        <f t="shared" si="11"/>
        <v>1168750</v>
      </c>
      <c r="I66" s="25">
        <f t="shared" si="12"/>
        <v>4000000</v>
      </c>
    </row>
    <row r="67" spans="3:9" x14ac:dyDescent="0.3">
      <c r="D67" s="4">
        <f t="shared" si="13"/>
        <v>11</v>
      </c>
      <c r="E67" s="24">
        <f t="shared" ref="E67:E70" si="16">+I66</f>
        <v>4000000</v>
      </c>
      <c r="F67" s="24">
        <f t="shared" si="15"/>
        <v>135000</v>
      </c>
      <c r="G67" s="24">
        <f t="shared" si="10"/>
        <v>1000000</v>
      </c>
      <c r="H67" s="24">
        <f t="shared" si="11"/>
        <v>1135000</v>
      </c>
      <c r="I67" s="24">
        <f t="shared" si="12"/>
        <v>3000000</v>
      </c>
    </row>
    <row r="68" spans="3:9" x14ac:dyDescent="0.3">
      <c r="D68" s="5">
        <f t="shared" si="13"/>
        <v>12</v>
      </c>
      <c r="E68" s="25">
        <f t="shared" si="16"/>
        <v>3000000</v>
      </c>
      <c r="F68" s="25">
        <f>(+E68*$E$50)/2</f>
        <v>101250</v>
      </c>
      <c r="G68" s="25">
        <f t="shared" si="10"/>
        <v>1000000</v>
      </c>
      <c r="H68" s="25">
        <f t="shared" si="11"/>
        <v>1101250</v>
      </c>
      <c r="I68" s="25">
        <f t="shared" si="12"/>
        <v>2000000</v>
      </c>
    </row>
    <row r="69" spans="3:9" x14ac:dyDescent="0.3">
      <c r="D69" s="4">
        <f t="shared" si="13"/>
        <v>13</v>
      </c>
      <c r="E69" s="24">
        <f t="shared" si="16"/>
        <v>2000000</v>
      </c>
      <c r="F69" s="24">
        <f t="shared" si="15"/>
        <v>67500</v>
      </c>
      <c r="G69" s="24">
        <f t="shared" si="10"/>
        <v>1000000</v>
      </c>
      <c r="H69" s="24">
        <f t="shared" si="11"/>
        <v>1067500</v>
      </c>
      <c r="I69" s="24">
        <f t="shared" si="12"/>
        <v>1000000</v>
      </c>
    </row>
    <row r="70" spans="3:9" x14ac:dyDescent="0.3">
      <c r="D70" s="5">
        <f t="shared" si="13"/>
        <v>14</v>
      </c>
      <c r="E70" s="25">
        <f t="shared" si="16"/>
        <v>1000000</v>
      </c>
      <c r="F70" s="25">
        <f>(+E70*$E$50)/2</f>
        <v>33750</v>
      </c>
      <c r="G70" s="25">
        <f>IF(D70&lt;=$E$53,0,$E$57/$E$52)</f>
        <v>1000000</v>
      </c>
      <c r="H70" s="25">
        <f>+F70+G70</f>
        <v>1033750</v>
      </c>
      <c r="I70" s="25">
        <f t="shared" si="12"/>
        <v>0</v>
      </c>
    </row>
    <row r="71" spans="3:9" hidden="1" x14ac:dyDescent="0.3">
      <c r="D71" s="1"/>
      <c r="E71" s="2"/>
      <c r="F71" s="2"/>
      <c r="G71" s="2"/>
      <c r="H71" s="2"/>
      <c r="I71" s="2"/>
    </row>
    <row r="72" spans="3:9" x14ac:dyDescent="0.3">
      <c r="D72" s="6"/>
      <c r="E72" s="6"/>
      <c r="F72" s="7">
        <f>SUM(F57:F70)</f>
        <v>3206250</v>
      </c>
      <c r="G72" s="7">
        <f>SUM(G57:G70)</f>
        <v>10000000</v>
      </c>
      <c r="H72" s="7">
        <f>SUM(H57:H70)</f>
        <v>13206250</v>
      </c>
      <c r="I72" s="7"/>
    </row>
    <row r="74" spans="3:9" x14ac:dyDescent="0.3">
      <c r="C74" s="11">
        <v>4</v>
      </c>
      <c r="D74" s="12" t="s">
        <v>30</v>
      </c>
    </row>
    <row r="75" spans="3:9" x14ac:dyDescent="0.3">
      <c r="D75" s="16"/>
      <c r="E75" s="16"/>
    </row>
    <row r="76" spans="3:9" x14ac:dyDescent="0.3">
      <c r="D76" s="17" t="s">
        <v>2</v>
      </c>
      <c r="E76" s="32">
        <v>10000000</v>
      </c>
      <c r="H76" s="30"/>
    </row>
    <row r="77" spans="3:9" x14ac:dyDescent="0.3">
      <c r="D77" s="17" t="s">
        <v>3</v>
      </c>
      <c r="E77" s="20">
        <v>6.9500000000000006E-2</v>
      </c>
    </row>
    <row r="78" spans="3:9" x14ac:dyDescent="0.3">
      <c r="D78" s="17" t="s">
        <v>4</v>
      </c>
      <c r="E78" s="23" t="s">
        <v>23</v>
      </c>
    </row>
    <row r="79" spans="3:9" x14ac:dyDescent="0.3">
      <c r="D79" s="17" t="s">
        <v>6</v>
      </c>
      <c r="E79" s="22">
        <v>16</v>
      </c>
    </row>
    <row r="80" spans="3:9" x14ac:dyDescent="0.3">
      <c r="D80" s="18" t="s">
        <v>7</v>
      </c>
      <c r="E80" s="23">
        <v>4</v>
      </c>
    </row>
    <row r="82" spans="4:9" x14ac:dyDescent="0.3">
      <c r="D82" s="35" t="s">
        <v>31</v>
      </c>
      <c r="E82" s="35"/>
      <c r="F82" s="35"/>
      <c r="G82" s="35"/>
      <c r="H82" s="35"/>
      <c r="I82" s="35"/>
    </row>
    <row r="83" spans="4:9" ht="21" x14ac:dyDescent="0.3">
      <c r="D83" s="14" t="s">
        <v>9</v>
      </c>
      <c r="E83" s="14" t="s">
        <v>10</v>
      </c>
      <c r="F83" s="3" t="s">
        <v>11</v>
      </c>
      <c r="G83" s="3" t="s">
        <v>12</v>
      </c>
      <c r="H83" s="3" t="s">
        <v>13</v>
      </c>
      <c r="I83" s="14" t="s">
        <v>14</v>
      </c>
    </row>
    <row r="84" spans="4:9" x14ac:dyDescent="0.3">
      <c r="D84" s="4">
        <v>1</v>
      </c>
      <c r="E84" s="24">
        <f>+E76</f>
        <v>10000000</v>
      </c>
      <c r="F84" s="24">
        <f>(+E84*$E$77)/2</f>
        <v>347500.00000000006</v>
      </c>
      <c r="G84" s="24">
        <f>IF(D84&lt;=$E$80,0,$E$84/$E$79)</f>
        <v>0</v>
      </c>
      <c r="H84" s="24">
        <f>+F84+G84</f>
        <v>347500.00000000006</v>
      </c>
      <c r="I84" s="24">
        <f>E84-G84</f>
        <v>10000000</v>
      </c>
    </row>
    <row r="85" spans="4:9" x14ac:dyDescent="0.3">
      <c r="D85" s="5">
        <f>D84+1</f>
        <v>2</v>
      </c>
      <c r="E85" s="25">
        <f>+I84</f>
        <v>10000000</v>
      </c>
      <c r="F85" s="25">
        <f>(+E85*$E$77)/2</f>
        <v>347500.00000000006</v>
      </c>
      <c r="G85" s="25">
        <f t="shared" ref="G85:G103" si="17">IF(D85&lt;=$E$80,0,$E$84/$E$79)</f>
        <v>0</v>
      </c>
      <c r="H85" s="25">
        <f>+F85+G85</f>
        <v>347500.00000000006</v>
      </c>
      <c r="I85" s="25">
        <f>E85-G85</f>
        <v>10000000</v>
      </c>
    </row>
    <row r="86" spans="4:9" x14ac:dyDescent="0.3">
      <c r="D86" s="4">
        <f t="shared" ref="D86:D103" si="18">D85+1</f>
        <v>3</v>
      </c>
      <c r="E86" s="24">
        <f t="shared" ref="E86:E103" si="19">+I85</f>
        <v>10000000</v>
      </c>
      <c r="F86" s="24">
        <f>(+E86*$E$77)/2</f>
        <v>347500.00000000006</v>
      </c>
      <c r="G86" s="24">
        <f t="shared" si="17"/>
        <v>0</v>
      </c>
      <c r="H86" s="24">
        <f t="shared" ref="H86:H103" si="20">+F86+G86</f>
        <v>347500.00000000006</v>
      </c>
      <c r="I86" s="24">
        <f t="shared" ref="I86:I103" si="21">E86-G86</f>
        <v>10000000</v>
      </c>
    </row>
    <row r="87" spans="4:9" x14ac:dyDescent="0.3">
      <c r="D87" s="5">
        <f t="shared" si="18"/>
        <v>4</v>
      </c>
      <c r="E87" s="25">
        <f t="shared" si="19"/>
        <v>10000000</v>
      </c>
      <c r="F87" s="25">
        <f>(+E87*$E$77)/2</f>
        <v>347500.00000000006</v>
      </c>
      <c r="G87" s="25">
        <f t="shared" si="17"/>
        <v>0</v>
      </c>
      <c r="H87" s="25">
        <f t="shared" si="20"/>
        <v>347500.00000000006</v>
      </c>
      <c r="I87" s="25">
        <f t="shared" si="21"/>
        <v>10000000</v>
      </c>
    </row>
    <row r="88" spans="4:9" x14ac:dyDescent="0.3">
      <c r="D88" s="4">
        <f t="shared" si="18"/>
        <v>5</v>
      </c>
      <c r="E88" s="24">
        <f t="shared" si="19"/>
        <v>10000000</v>
      </c>
      <c r="F88" s="24">
        <f t="shared" ref="F88:F103" si="22">(+E88*$E$77)/2</f>
        <v>347500.00000000006</v>
      </c>
      <c r="G88" s="24">
        <f t="shared" si="17"/>
        <v>625000</v>
      </c>
      <c r="H88" s="24">
        <f t="shared" si="20"/>
        <v>972500</v>
      </c>
      <c r="I88" s="24">
        <f t="shared" si="21"/>
        <v>9375000</v>
      </c>
    </row>
    <row r="89" spans="4:9" x14ac:dyDescent="0.3">
      <c r="D89" s="5">
        <f t="shared" si="18"/>
        <v>6</v>
      </c>
      <c r="E89" s="25">
        <f t="shared" si="19"/>
        <v>9375000</v>
      </c>
      <c r="F89" s="25">
        <f t="shared" si="22"/>
        <v>325781.25000000006</v>
      </c>
      <c r="G89" s="25">
        <f t="shared" si="17"/>
        <v>625000</v>
      </c>
      <c r="H89" s="25">
        <f t="shared" si="20"/>
        <v>950781.25</v>
      </c>
      <c r="I89" s="25">
        <f t="shared" si="21"/>
        <v>8750000</v>
      </c>
    </row>
    <row r="90" spans="4:9" x14ac:dyDescent="0.3">
      <c r="D90" s="4">
        <f t="shared" si="18"/>
        <v>7</v>
      </c>
      <c r="E90" s="24">
        <f t="shared" si="19"/>
        <v>8750000</v>
      </c>
      <c r="F90" s="24">
        <f t="shared" si="22"/>
        <v>304062.5</v>
      </c>
      <c r="G90" s="24">
        <f t="shared" si="17"/>
        <v>625000</v>
      </c>
      <c r="H90" s="24">
        <f t="shared" si="20"/>
        <v>929062.5</v>
      </c>
      <c r="I90" s="24">
        <f t="shared" si="21"/>
        <v>8125000</v>
      </c>
    </row>
    <row r="91" spans="4:9" x14ac:dyDescent="0.3">
      <c r="D91" s="5">
        <f t="shared" si="18"/>
        <v>8</v>
      </c>
      <c r="E91" s="25">
        <f t="shared" si="19"/>
        <v>8125000</v>
      </c>
      <c r="F91" s="25">
        <f t="shared" si="22"/>
        <v>282343.75</v>
      </c>
      <c r="G91" s="25">
        <f t="shared" si="17"/>
        <v>625000</v>
      </c>
      <c r="H91" s="25">
        <f t="shared" si="20"/>
        <v>907343.75</v>
      </c>
      <c r="I91" s="25">
        <f t="shared" si="21"/>
        <v>7500000</v>
      </c>
    </row>
    <row r="92" spans="4:9" x14ac:dyDescent="0.3">
      <c r="D92" s="4">
        <f t="shared" si="18"/>
        <v>9</v>
      </c>
      <c r="E92" s="24">
        <f t="shared" si="19"/>
        <v>7500000</v>
      </c>
      <c r="F92" s="24">
        <f t="shared" si="22"/>
        <v>260625.00000000003</v>
      </c>
      <c r="G92" s="24">
        <f t="shared" si="17"/>
        <v>625000</v>
      </c>
      <c r="H92" s="24">
        <f t="shared" si="20"/>
        <v>885625</v>
      </c>
      <c r="I92" s="24">
        <f t="shared" si="21"/>
        <v>6875000</v>
      </c>
    </row>
    <row r="93" spans="4:9" x14ac:dyDescent="0.3">
      <c r="D93" s="5">
        <f t="shared" si="18"/>
        <v>10</v>
      </c>
      <c r="E93" s="25">
        <f t="shared" si="19"/>
        <v>6875000</v>
      </c>
      <c r="F93" s="25">
        <f t="shared" si="22"/>
        <v>238906.25000000003</v>
      </c>
      <c r="G93" s="25">
        <f t="shared" si="17"/>
        <v>625000</v>
      </c>
      <c r="H93" s="25">
        <f t="shared" si="20"/>
        <v>863906.25</v>
      </c>
      <c r="I93" s="25">
        <f t="shared" si="21"/>
        <v>6250000</v>
      </c>
    </row>
    <row r="94" spans="4:9" x14ac:dyDescent="0.3">
      <c r="D94" s="4">
        <f t="shared" si="18"/>
        <v>11</v>
      </c>
      <c r="E94" s="24">
        <f t="shared" si="19"/>
        <v>6250000</v>
      </c>
      <c r="F94" s="24">
        <f t="shared" si="22"/>
        <v>217187.50000000003</v>
      </c>
      <c r="G94" s="24">
        <f t="shared" si="17"/>
        <v>625000</v>
      </c>
      <c r="H94" s="24">
        <f t="shared" si="20"/>
        <v>842187.5</v>
      </c>
      <c r="I94" s="24">
        <f t="shared" si="21"/>
        <v>5625000</v>
      </c>
    </row>
    <row r="95" spans="4:9" x14ac:dyDescent="0.3">
      <c r="D95" s="5">
        <f t="shared" si="18"/>
        <v>12</v>
      </c>
      <c r="E95" s="25">
        <f t="shared" si="19"/>
        <v>5625000</v>
      </c>
      <c r="F95" s="25">
        <f t="shared" si="22"/>
        <v>195468.75000000003</v>
      </c>
      <c r="G95" s="25">
        <f t="shared" si="17"/>
        <v>625000</v>
      </c>
      <c r="H95" s="25">
        <f t="shared" si="20"/>
        <v>820468.75</v>
      </c>
      <c r="I95" s="25">
        <f t="shared" si="21"/>
        <v>5000000</v>
      </c>
    </row>
    <row r="96" spans="4:9" x14ac:dyDescent="0.3">
      <c r="D96" s="4">
        <f t="shared" si="18"/>
        <v>13</v>
      </c>
      <c r="E96" s="24">
        <f t="shared" si="19"/>
        <v>5000000</v>
      </c>
      <c r="F96" s="24">
        <f t="shared" si="22"/>
        <v>173750.00000000003</v>
      </c>
      <c r="G96" s="24">
        <f t="shared" si="17"/>
        <v>625000</v>
      </c>
      <c r="H96" s="24">
        <f t="shared" si="20"/>
        <v>798750</v>
      </c>
      <c r="I96" s="24">
        <f t="shared" si="21"/>
        <v>4375000</v>
      </c>
    </row>
    <row r="97" spans="4:9" x14ac:dyDescent="0.3">
      <c r="D97" s="5">
        <f t="shared" si="18"/>
        <v>14</v>
      </c>
      <c r="E97" s="25">
        <f t="shared" si="19"/>
        <v>4375000</v>
      </c>
      <c r="F97" s="25">
        <f t="shared" si="22"/>
        <v>152031.25</v>
      </c>
      <c r="G97" s="25">
        <f t="shared" si="17"/>
        <v>625000</v>
      </c>
      <c r="H97" s="25">
        <f t="shared" si="20"/>
        <v>777031.25</v>
      </c>
      <c r="I97" s="25">
        <f t="shared" si="21"/>
        <v>3750000</v>
      </c>
    </row>
    <row r="98" spans="4:9" x14ac:dyDescent="0.3">
      <c r="D98" s="4">
        <f t="shared" si="18"/>
        <v>15</v>
      </c>
      <c r="E98" s="24">
        <f t="shared" si="19"/>
        <v>3750000</v>
      </c>
      <c r="F98" s="24">
        <f t="shared" si="22"/>
        <v>130312.50000000001</v>
      </c>
      <c r="G98" s="24">
        <f>IF(D98&lt;=$E$80,0,$E$84/$E$79)</f>
        <v>625000</v>
      </c>
      <c r="H98" s="24">
        <f t="shared" si="20"/>
        <v>755312.5</v>
      </c>
      <c r="I98" s="24">
        <f t="shared" si="21"/>
        <v>3125000</v>
      </c>
    </row>
    <row r="99" spans="4:9" x14ac:dyDescent="0.3">
      <c r="D99" s="5">
        <f t="shared" si="18"/>
        <v>16</v>
      </c>
      <c r="E99" s="25">
        <f t="shared" si="19"/>
        <v>3125000</v>
      </c>
      <c r="F99" s="25">
        <f t="shared" si="22"/>
        <v>108593.75000000001</v>
      </c>
      <c r="G99" s="25">
        <f t="shared" si="17"/>
        <v>625000</v>
      </c>
      <c r="H99" s="25">
        <f t="shared" si="20"/>
        <v>733593.75</v>
      </c>
      <c r="I99" s="25">
        <f t="shared" si="21"/>
        <v>2500000</v>
      </c>
    </row>
    <row r="100" spans="4:9" x14ac:dyDescent="0.3">
      <c r="D100" s="4">
        <f t="shared" si="18"/>
        <v>17</v>
      </c>
      <c r="E100" s="24">
        <f t="shared" si="19"/>
        <v>2500000</v>
      </c>
      <c r="F100" s="24">
        <f t="shared" si="22"/>
        <v>86875.000000000015</v>
      </c>
      <c r="G100" s="24">
        <f t="shared" si="17"/>
        <v>625000</v>
      </c>
      <c r="H100" s="24">
        <f t="shared" si="20"/>
        <v>711875</v>
      </c>
      <c r="I100" s="24">
        <f t="shared" si="21"/>
        <v>1875000</v>
      </c>
    </row>
    <row r="101" spans="4:9" x14ac:dyDescent="0.3">
      <c r="D101" s="5">
        <f t="shared" si="18"/>
        <v>18</v>
      </c>
      <c r="E101" s="25">
        <f t="shared" si="19"/>
        <v>1875000</v>
      </c>
      <c r="F101" s="25">
        <f t="shared" si="22"/>
        <v>65156.250000000007</v>
      </c>
      <c r="G101" s="25">
        <f t="shared" si="17"/>
        <v>625000</v>
      </c>
      <c r="H101" s="25">
        <f t="shared" si="20"/>
        <v>690156.25</v>
      </c>
      <c r="I101" s="25">
        <f t="shared" si="21"/>
        <v>1250000</v>
      </c>
    </row>
    <row r="102" spans="4:9" x14ac:dyDescent="0.3">
      <c r="D102" s="4">
        <f t="shared" si="18"/>
        <v>19</v>
      </c>
      <c r="E102" s="24">
        <f t="shared" si="19"/>
        <v>1250000</v>
      </c>
      <c r="F102" s="24">
        <f t="shared" si="22"/>
        <v>43437.500000000007</v>
      </c>
      <c r="G102" s="24">
        <f t="shared" si="17"/>
        <v>625000</v>
      </c>
      <c r="H102" s="24">
        <f t="shared" si="20"/>
        <v>668437.5</v>
      </c>
      <c r="I102" s="24">
        <f t="shared" si="21"/>
        <v>625000</v>
      </c>
    </row>
    <row r="103" spans="4:9" x14ac:dyDescent="0.3">
      <c r="D103" s="5">
        <f t="shared" si="18"/>
        <v>20</v>
      </c>
      <c r="E103" s="25">
        <f t="shared" si="19"/>
        <v>625000</v>
      </c>
      <c r="F103" s="25">
        <f t="shared" si="22"/>
        <v>21718.750000000004</v>
      </c>
      <c r="G103" s="25">
        <f t="shared" si="17"/>
        <v>625000</v>
      </c>
      <c r="H103" s="25">
        <f t="shared" si="20"/>
        <v>646718.75</v>
      </c>
      <c r="I103" s="25">
        <f t="shared" si="21"/>
        <v>0</v>
      </c>
    </row>
    <row r="104" spans="4:9" hidden="1" x14ac:dyDescent="0.3">
      <c r="D104" s="1"/>
      <c r="E104" s="2"/>
      <c r="F104" s="2"/>
      <c r="G104" s="2"/>
      <c r="H104" s="2"/>
      <c r="I104" s="2"/>
    </row>
    <row r="105" spans="4:9" x14ac:dyDescent="0.3">
      <c r="D105" s="6"/>
      <c r="E105" s="6"/>
      <c r="F105" s="7">
        <f>SUM(F84:F103)</f>
        <v>4343750</v>
      </c>
      <c r="G105" s="7">
        <f>SUM(G84:G103)</f>
        <v>10000000</v>
      </c>
      <c r="H105" s="7">
        <f>SUM(H84:H103)</f>
        <v>14343750</v>
      </c>
      <c r="I105" s="7"/>
    </row>
  </sheetData>
  <mergeCells count="4">
    <mergeCell ref="D13:I13"/>
    <mergeCell ref="D32:I32"/>
    <mergeCell ref="D55:I55"/>
    <mergeCell ref="D82:I8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47E3AB643A18439237A88F7A59AB65" ma:contentTypeVersion="18" ma:contentTypeDescription="Crée un document." ma:contentTypeScope="" ma:versionID="e281b2146f2474076a236e4748d4f659">
  <xsd:schema xmlns:xsd="http://www.w3.org/2001/XMLSchema" xmlns:xs="http://www.w3.org/2001/XMLSchema" xmlns:p="http://schemas.microsoft.com/office/2006/metadata/properties" xmlns:ns2="e0d25108-70d5-4b05-a1ba-9d183ca221fa" xmlns:ns3="11e923c1-8554-4bfe-a49f-3ffbdd684a4e" targetNamespace="http://schemas.microsoft.com/office/2006/metadata/properties" ma:root="true" ma:fieldsID="c33ee0d39c2be854f1dd95fcbcf57614" ns2:_="" ns3:_="">
    <xsd:import namespace="e0d25108-70d5-4b05-a1ba-9d183ca221fa"/>
    <xsd:import namespace="11e923c1-8554-4bfe-a49f-3ffbdd684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5108-70d5-4b05-a1ba-9d183ca221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08f8b9ab-8d5d-490a-875f-bd3396bf4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923c1-8554-4bfe-a49f-3ffbdd684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9ad8338-c4ba-4b2d-8932-0599f8aa7b29}" ma:internalName="TaxCatchAll" ma:showField="CatchAllData" ma:web="11e923c1-8554-4bfe-a49f-3ffbdd684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d25108-70d5-4b05-a1ba-9d183ca221fa">
      <Terms xmlns="http://schemas.microsoft.com/office/infopath/2007/PartnerControls"/>
    </lcf76f155ced4ddcb4097134ff3c332f>
    <TaxCatchAll xmlns="11e923c1-8554-4bfe-a49f-3ffbdd684a4e" xsi:nil="true"/>
  </documentManagement>
</p:properties>
</file>

<file path=customXml/itemProps1.xml><?xml version="1.0" encoding="utf-8"?>
<ds:datastoreItem xmlns:ds="http://schemas.openxmlformats.org/officeDocument/2006/customXml" ds:itemID="{37425DE2-F6B2-42CD-ADD1-A3455270F7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34D248-4665-4108-9720-5C95A2775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d25108-70d5-4b05-a1ba-9d183ca221fa"/>
    <ds:schemaRef ds:uri="11e923c1-8554-4bfe-a49f-3ffbdd684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4CE0F2-479A-4066-9757-D85136B2239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e0d25108-70d5-4b05-a1ba-9d183ca221fa"/>
    <ds:schemaRef ds:uri="http://schemas.microsoft.com/office/infopath/2007/PartnerControls"/>
    <ds:schemaRef ds:uri="11e923c1-8554-4bfe-a49f-3ffbdd684a4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Masse Konté</dc:creator>
  <cp:keywords/>
  <dc:description/>
  <cp:lastModifiedBy>Ahmet Fall [IMPAXIS]</cp:lastModifiedBy>
  <cp:revision/>
  <dcterms:created xsi:type="dcterms:W3CDTF">2024-11-20T22:31:53Z</dcterms:created>
  <dcterms:modified xsi:type="dcterms:W3CDTF">2025-10-05T15:33:29Z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0x010100D347E3AB643A18439237A88F7A59AB65</vt:lpwstr>
  </property>
  <property fmtid="{D5CDD505-2E9C-101B-9397-08002B2CF9AE}" pid="3" name="MediaServiceImageTags">
    <vt:lpwstr/>
  </property>
</Properties>
</file>